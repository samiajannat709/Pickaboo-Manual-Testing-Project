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mia jannat\Desktop\"/>
    </mc:Choice>
  </mc:AlternateContent>
  <xr:revisionPtr revIDLastSave="0" documentId="8_{BCB5CB22-7502-4177-9F4D-6093D0990E1E}" xr6:coauthVersionLast="47" xr6:coauthVersionMax="47" xr10:uidLastSave="{00000000-0000-0000-0000-000000000000}"/>
  <bookViews>
    <workbookView xWindow="-108" yWindow="-108" windowWidth="23256" windowHeight="12456" activeTab="3" xr2:uid="{17D99E7E-181B-48F6-ACB8-0F3014281C48}"/>
  </bookViews>
  <sheets>
    <sheet name="Test Plan" sheetId="1" r:id="rId1"/>
    <sheet name="Mind Maps" sheetId="2" r:id="rId2"/>
    <sheet name="TestScenarios" sheetId="3" r:id="rId3"/>
    <sheet name="TestCase" sheetId="4" r:id="rId4"/>
    <sheet name="Test Summary Report" sheetId="5" r:id="rId5"/>
    <sheet name="Bug Report" sheetId="6" r:id="rId6"/>
    <sheet name="Test Metrics" sheetId="7" r:id="rId7"/>
    <sheet name="Recommandation" sheetId="8"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5" l="1"/>
  <c r="H13" i="5"/>
  <c r="H12" i="5"/>
  <c r="H11" i="5"/>
  <c r="E13" i="5"/>
  <c r="D13" i="5"/>
  <c r="L5" i="4" l="1"/>
  <c r="L3" i="4"/>
  <c r="L2" i="4" l="1"/>
  <c r="L6" i="4"/>
  <c r="L4" i="4"/>
</calcChain>
</file>

<file path=xl/sharedStrings.xml><?xml version="1.0" encoding="utf-8"?>
<sst xmlns="http://schemas.openxmlformats.org/spreadsheetml/2006/main" count="836" uniqueCount="557">
  <si>
    <t>Test Metrics</t>
  </si>
  <si>
    <t>Product Name</t>
  </si>
  <si>
    <t>Module Name</t>
  </si>
  <si>
    <t>Epic</t>
  </si>
  <si>
    <t>Developer Name (TL)</t>
  </si>
  <si>
    <t>Test Executed by</t>
  </si>
  <si>
    <t>pikaboo</t>
  </si>
  <si>
    <t>Account</t>
  </si>
  <si>
    <t>TC Start Date</t>
  </si>
  <si>
    <t>TC End Date</t>
  </si>
  <si>
    <t>Test Case Developer By</t>
  </si>
  <si>
    <t>Test Case Reviewed By</t>
  </si>
  <si>
    <t>15/08/2025</t>
  </si>
  <si>
    <t>17/08/2025</t>
  </si>
  <si>
    <t>md . Tarekur</t>
  </si>
  <si>
    <t>Samia</t>
  </si>
  <si>
    <t>TC Execution Start Date</t>
  </si>
  <si>
    <t>TC Execution End Date</t>
  </si>
  <si>
    <t>Browser (tested)</t>
  </si>
  <si>
    <t>Performance (tested)</t>
  </si>
  <si>
    <t>14/10/2025</t>
  </si>
  <si>
    <t>15/11/2025</t>
  </si>
  <si>
    <t>Yes</t>
  </si>
  <si>
    <t>Test Case</t>
  </si>
  <si>
    <t>NO RUN</t>
  </si>
  <si>
    <t>BLOCKED</t>
  </si>
  <si>
    <t>TOTAL</t>
  </si>
  <si>
    <t>Module</t>
  </si>
  <si>
    <t>Type of Testing</t>
  </si>
  <si>
    <t>Features</t>
  </si>
  <si>
    <t>Test Cases</t>
  </si>
  <si>
    <t>Exepected  Result</t>
  </si>
  <si>
    <t>Actual Result</t>
  </si>
  <si>
    <t>Test Data</t>
  </si>
  <si>
    <t xml:space="preserve">Bugs Screen Shot </t>
  </si>
  <si>
    <t>Dev Comments</t>
  </si>
  <si>
    <t>Final Status</t>
  </si>
  <si>
    <t>Remarks</t>
  </si>
  <si>
    <t>Passed</t>
  </si>
  <si>
    <t>Found as per expectation.</t>
  </si>
  <si>
    <t xml:space="preserve">Verify logged-in user doesn’t log out by clicking the back button on the browsers tab.
</t>
  </si>
  <si>
    <t>Found not as per expectation.</t>
  </si>
  <si>
    <t>Failed</t>
  </si>
  <si>
    <t>Found as per expectation</t>
  </si>
  <si>
    <t>N/A</t>
  </si>
  <si>
    <t>FAILED</t>
  </si>
  <si>
    <t>PASSED</t>
  </si>
  <si>
    <t>Browser Compatibility</t>
  </si>
  <si>
    <t>Browser</t>
  </si>
  <si>
    <t>Verify that the URL run in different browsers</t>
  </si>
  <si>
    <t>Should be run in different browser</t>
  </si>
  <si>
    <t>Test Case for Registration Module</t>
  </si>
  <si>
    <t>Home Page</t>
  </si>
  <si>
    <t>Verify that the logo of the Home Page</t>
  </si>
  <si>
    <t>s</t>
  </si>
  <si>
    <t>Header Section</t>
  </si>
  <si>
    <t xml:space="preserve">Search box </t>
  </si>
  <si>
    <t>Verify that the click on search box</t>
  </si>
  <si>
    <t>Verify that the Search with valid product name</t>
  </si>
  <si>
    <t xml:space="preserve">Verify that the placeholder is present in search box
</t>
  </si>
  <si>
    <t>Verify that the type of minimum  character in search box</t>
  </si>
  <si>
    <t>Register</t>
  </si>
  <si>
    <t>Verify that the without verification phone number</t>
  </si>
  <si>
    <t>Verify that the with verification phone number</t>
  </si>
  <si>
    <t>Verify that the asterrisk sign in name field</t>
  </si>
  <si>
    <t>Verify that the special character in name field</t>
  </si>
  <si>
    <t xml:space="preserve">Verify that the placeholder is present in name field
</t>
  </si>
  <si>
    <t>Verify that the minimum type of character in name field</t>
  </si>
  <si>
    <t>Verify that the maximum type of character in name field</t>
  </si>
  <si>
    <t xml:space="preserve">Verify that the submitted all field without email field
</t>
  </si>
  <si>
    <t xml:space="preserve">Verify that the submitted wrong email
</t>
  </si>
  <si>
    <t>Verify that the submitted email without @</t>
  </si>
  <si>
    <t>Password</t>
  </si>
  <si>
    <t xml:space="preserve">Verify that the submitted all field wihout all field
</t>
  </si>
  <si>
    <t>Verify that the password should be visible on tap of eye button and again became encrypted on double tab</t>
  </si>
  <si>
    <t xml:space="preserve">Verify that system shows a pop-up error meassage when the password contains only number
</t>
  </si>
  <si>
    <t>Verify that the submitted password section only special character</t>
  </si>
  <si>
    <t xml:space="preserve">Cart Button </t>
  </si>
  <si>
    <t>Verify that an undefine effect appears when the user hovers over the cart button</t>
  </si>
  <si>
    <t xml:space="preserve">Verify that the empty cart message is displayed when no items are added to the cart </t>
  </si>
  <si>
    <t>Verify that the total cart is displayed after adding a product to the cart</t>
  </si>
  <si>
    <t xml:space="preserve">Verify tha the total cart price is displaced after adding a product to the cart </t>
  </si>
  <si>
    <t>Verify that the chatbox is work or not</t>
  </si>
  <si>
    <t>Verify that the add new address save successfully</t>
  </si>
  <si>
    <t>Verify that the all required option in add new adress field</t>
  </si>
  <si>
    <t>Verify that the auto is selected</t>
  </si>
  <si>
    <t>Verify that the change address</t>
  </si>
  <si>
    <t>Verify that the account information is  editable or not</t>
  </si>
  <si>
    <t>Verify that the change email address</t>
  </si>
  <si>
    <t>Verify that the placeholder is present in change email option</t>
  </si>
  <si>
    <t>Verify that the save button is work</t>
  </si>
  <si>
    <t>Verify that my order button is clickable or not</t>
  </si>
  <si>
    <t>Verify that the  my order option is despalyed when no items are ordered</t>
  </si>
  <si>
    <t>Verify that a chatbox is available in my order section</t>
  </si>
  <si>
    <t>Verify in order section chat box has work or not</t>
  </si>
  <si>
    <t>Verify that my product review chat box is work or not</t>
  </si>
  <si>
    <t>Verify that the point summary option work or not under pickaboo club</t>
  </si>
  <si>
    <t>Verify that the every single option work or not under my account</t>
  </si>
  <si>
    <t>Navigation menu icon</t>
  </si>
  <si>
    <t>Veirfy that the three dots navigation icon work or not</t>
  </si>
  <si>
    <t xml:space="preserve">Verify that the first navigation catagories air conditioner work or not </t>
  </si>
  <si>
    <t xml:space="preserve">Verify that the first navigation air conditioner suggest all bands </t>
  </si>
  <si>
    <t>Verify that the clickable all brands</t>
  </si>
  <si>
    <t>Verify that the displayed proper details in one brands</t>
  </si>
  <si>
    <t>Verify that the total number of items for a brand is displayed</t>
  </si>
  <si>
    <t>Verify that the price range is work or not</t>
  </si>
  <si>
    <t>Verify that the price range min or max is present or not</t>
  </si>
  <si>
    <t>Verify that the given maximum minimum price</t>
  </si>
  <si>
    <t>Verify that the given maximum to maximum price</t>
  </si>
  <si>
    <t>Verify that no products available message is dsplayed when no products are found</t>
  </si>
  <si>
    <t>Verify that a chatbox is available in every brands option</t>
  </si>
  <si>
    <t>Verify that the display size (inch) is working or not</t>
  </si>
  <si>
    <t xml:space="preserve">Verify that the all size availble in displayed message </t>
  </si>
  <si>
    <t>Veirfy that the clickable all size</t>
  </si>
  <si>
    <t>Verify that the ram option is working properly</t>
  </si>
  <si>
    <t>Verify that the ram size is displayed correctly</t>
  </si>
  <si>
    <t>Footer Section</t>
  </si>
  <si>
    <t>Verify the footer is displayed on the Home page</t>
  </si>
  <si>
    <t>Verify the Pickaboo logo is displayed in the footer</t>
  </si>
  <si>
    <t>Verify the "About Us" link is clickable</t>
  </si>
  <si>
    <t>Verify the Privacy Policy link</t>
  </si>
  <si>
    <t>Verify the Terms &amp; Conditions link</t>
  </si>
  <si>
    <t>Verify the Return Policy link</t>
  </si>
  <si>
    <t>Verify the FAQ link</t>
  </si>
  <si>
    <t>Verify the Careers link</t>
  </si>
  <si>
    <t>Verify the Facebook icon redirects correctly</t>
  </si>
  <si>
    <t>Verify the YouTube icon redirects correctly</t>
  </si>
  <si>
    <t>Verify the Instagram icon redirects correctly</t>
  </si>
  <si>
    <t>Verify copyright information is displayed</t>
  </si>
  <si>
    <t>Verify footer layout on different screen sizes</t>
  </si>
  <si>
    <t>Verify all footer links are valid</t>
  </si>
  <si>
    <t>Verify that the there is no grammar,spellig ,Punctuation or Language errors</t>
  </si>
  <si>
    <t>Creation Date</t>
  </si>
  <si>
    <t>Approval Date</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</si>
  <si>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</si>
  <si>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</si>
  <si>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</si>
  <si>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</si>
  <si>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</si>
  <si>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</si>
  <si>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</si>
  <si>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</si>
  <si>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</si>
  <si>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</si>
  <si>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</si>
  <si>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TS_004</t>
  </si>
  <si>
    <t>TS_006</t>
  </si>
  <si>
    <t>TS_009</t>
  </si>
  <si>
    <t>P4</t>
  </si>
  <si>
    <t>TS_010</t>
  </si>
  <si>
    <t>TS_012</t>
  </si>
  <si>
    <t>P5</t>
  </si>
  <si>
    <t>TS_013</t>
  </si>
  <si>
    <t>Validate the working of  "OTP" functionality.</t>
  </si>
  <si>
    <t>P2</t>
  </si>
  <si>
    <t>Test Case Report</t>
  </si>
  <si>
    <t xml:space="preserve">   Project Name   </t>
  </si>
  <si>
    <t xml:space="preserve">Module Name   </t>
  </si>
  <si>
    <t xml:space="preserve">Feature Name   </t>
  </si>
  <si>
    <t>Test Case Version</t>
  </si>
  <si>
    <t>Written By</t>
  </si>
  <si>
    <t>Executed By</t>
  </si>
  <si>
    <t>Reviewed By</t>
  </si>
  <si>
    <t>xx</t>
  </si>
  <si>
    <t>TEST EXECUTION REPORT</t>
  </si>
  <si>
    <t>PASS</t>
  </si>
  <si>
    <t>FAIL</t>
  </si>
  <si>
    <t>Not Executed</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</si>
  <si>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</si>
  <si>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</si>
  <si>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</si>
  <si>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</si>
  <si>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</si>
  <si>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</si>
  <si>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</si>
  <si>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</si>
  <si>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</si>
  <si>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</si>
  <si>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</si>
  <si>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</si>
  <si>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</si>
  <si>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</si>
  <si>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</si>
  <si>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</si>
  <si>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</si>
  <si>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</si>
  <si>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</si>
  <si>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</si>
  <si>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</si>
  <si>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</si>
  <si>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</si>
  <si>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</si>
  <si>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</si>
  <si>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</si>
  <si>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</si>
  <si>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Result :</t>
  </si>
  <si>
    <t xml:space="preserve">Total No. </t>
  </si>
  <si>
    <t>Status</t>
  </si>
  <si>
    <t>New Features:-</t>
  </si>
  <si>
    <t>Testing Scope:-</t>
  </si>
  <si>
    <t xml:space="preserve">Testing Environment :Google Chrome Browser </t>
  </si>
  <si>
    <t>Out of Scope</t>
  </si>
  <si>
    <t>#SL</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</si>
  <si>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</si>
  <si>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</si>
  <si>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</si>
  <si>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</si>
  <si>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</si>
  <si>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</si>
  <si>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</si>
  <si>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</si>
  <si>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</si>
  <si>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</si>
  <si>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</si>
  <si>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</si>
  <si>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</si>
  <si>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</si>
  <si>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</si>
  <si>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</si>
  <si>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</si>
  <si>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</si>
  <si>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</si>
  <si>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</si>
  <si>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</si>
  <si>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</si>
  <si>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</si>
  <si>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</si>
  <si>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</si>
  <si>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</si>
  <si>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</si>
  <si>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</si>
  <si>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Bug Reporting</t>
  </si>
  <si>
    <t>Reproducing Steps:</t>
  </si>
  <si>
    <r>
      <rPr>
        <b/>
        <sz val="11"/>
        <color rgb="FF000000"/>
        <rFont val="Calibri"/>
        <family val="2"/>
      </rPr>
      <t>Env:</t>
    </r>
    <r>
      <rPr>
        <sz val="10"/>
        <color rgb="FF000000"/>
        <rFont val="Calibri"/>
        <family val="2"/>
      </rPr>
      <t xml:space="preserve"> Production.</t>
    </r>
  </si>
  <si>
    <r>
      <rPr>
        <b/>
        <sz val="11"/>
        <color rgb="FF000000"/>
        <rFont val="Calibri"/>
        <family val="2"/>
      </rPr>
      <t xml:space="preserve">Module: </t>
    </r>
    <r>
      <rPr>
        <sz val="11"/>
        <color rgb="FF000000"/>
        <rFont val="Calibri"/>
        <family val="2"/>
      </rPr>
      <t>Register</t>
    </r>
  </si>
  <si>
    <r>
      <rPr>
        <b/>
        <sz val="11"/>
        <color rgb="FF000000"/>
        <rFont val="Calibri"/>
        <family val="2"/>
      </rPr>
      <t>Priority:</t>
    </r>
    <r>
      <rPr>
        <sz val="11"/>
        <color rgb="FF000000"/>
        <rFont val="Calibri"/>
        <family val="2"/>
      </rPr>
      <t xml:space="preserve"> High | Medium | Low</t>
    </r>
  </si>
  <si>
    <r>
      <rPr>
        <b/>
        <sz val="11"/>
        <color rgb="FF000000"/>
        <rFont val="Calibri"/>
        <family val="2"/>
      </rPr>
      <t>Severity:</t>
    </r>
    <r>
      <rPr>
        <sz val="10"/>
        <color rgb="FF000000"/>
        <rFont val="Calibri"/>
        <family val="2"/>
      </rPr>
      <t xml:space="preserve"> </t>
    </r>
    <r>
      <rPr>
        <sz val="11"/>
        <color rgb="FF000000"/>
        <rFont val="Calibri"/>
        <family val="2"/>
      </rPr>
      <t>Blocker | Critical | Major | Minor</t>
    </r>
  </si>
  <si>
    <t>Responsible QA: Tashfiquzzman</t>
  </si>
  <si>
    <t># SL 02</t>
  </si>
  <si>
    <t>Issue: Click on "Forgotten Password?" and Account deleted</t>
  </si>
  <si>
    <t>1. Goto the URL
https://www.startech.com.bd
2. Click on the Login button at the right corner
3. Fill all the fields with invalid credentials
4. Click ''Forgotten Password?"</t>
  </si>
  <si>
    <r>
      <rPr>
        <b/>
        <sz val="11"/>
        <color rgb="FF000000"/>
        <rFont val="Calibri"/>
        <family val="2"/>
      </rPr>
      <t>Env:</t>
    </r>
    <r>
      <rPr>
        <sz val="10"/>
        <color rgb="FF000000"/>
        <rFont val="Calibri"/>
        <family val="2"/>
      </rPr>
      <t xml:space="preserve"> Production</t>
    </r>
  </si>
  <si>
    <t>Module: Login</t>
  </si>
  <si>
    <r>
      <rPr>
        <b/>
        <sz val="11"/>
        <color rgb="FF000000"/>
        <rFont val="Calibri"/>
        <family val="2"/>
      </rPr>
      <t>Severity:</t>
    </r>
    <r>
      <rPr>
        <sz val="10"/>
        <color rgb="FF000000"/>
        <rFont val="Calibri"/>
        <family val="2"/>
      </rPr>
      <t xml:space="preserve"> P2</t>
    </r>
  </si>
  <si>
    <t>Screenshot: "Forgotten Password" error</t>
  </si>
  <si>
    <r>
      <rPr>
        <b/>
        <sz val="11"/>
        <color rgb="FF000000"/>
        <rFont val="Calibri"/>
        <family val="2"/>
      </rPr>
      <t>Responsible QA:</t>
    </r>
    <r>
      <rPr>
        <sz val="10"/>
        <color rgb="FF000000"/>
        <rFont val="Calibri"/>
        <family val="2"/>
      </rPr>
      <t xml:space="preserve">  Tashfiquzzaman</t>
    </r>
  </si>
  <si>
    <t># SL 03</t>
  </si>
  <si>
    <t>Issue: First and last names should not start with a special character.</t>
  </si>
  <si>
    <t xml:space="preserve">1. Goto the URL
https:/www.startech.com.bd
2. Click on the Register button at the right corner.
3. Fill all the fiels with valid credentials  
</t>
  </si>
  <si>
    <t>4. Click 'Continue'.</t>
  </si>
  <si>
    <t>Module: Register</t>
  </si>
  <si>
    <r>
      <rPr>
        <b/>
        <sz val="11"/>
        <color rgb="FF000000"/>
        <rFont val="Calibri"/>
        <family val="2"/>
      </rPr>
      <t>Severity:</t>
    </r>
    <r>
      <rPr>
        <sz val="10"/>
        <color rgb="FF000000"/>
        <rFont val="Calibri"/>
        <family val="2"/>
      </rPr>
      <t xml:space="preserve"> P4</t>
    </r>
  </si>
  <si>
    <t>Screenshot: First and last names should not start with a special characte</t>
  </si>
  <si>
    <t># SL 04</t>
  </si>
  <si>
    <t>issue:First name and last name should not start with number.</t>
  </si>
  <si>
    <r>
      <rPr>
        <b/>
        <sz val="11"/>
        <color rgb="FF000000"/>
        <rFont val="Calibri"/>
        <family val="2"/>
      </rPr>
      <t>Severity:</t>
    </r>
    <r>
      <rPr>
        <sz val="10"/>
        <color rgb="FF000000"/>
        <rFont val="Calibri"/>
        <family val="2"/>
      </rPr>
      <t xml:space="preserve"> P5</t>
    </r>
  </si>
  <si>
    <t xml:space="preserve">Screenshot: First name error </t>
  </si>
  <si>
    <t># SL 05</t>
  </si>
  <si>
    <t>issue: A comma should not be expected between the name field.</t>
  </si>
  <si>
    <r>
      <rPr>
        <b/>
        <sz val="11"/>
        <color rgb="FF000000"/>
        <rFont val="Calibri"/>
        <family val="2"/>
      </rPr>
      <t>Severity:</t>
    </r>
    <r>
      <rPr>
        <sz val="10"/>
        <color rgb="FF000000"/>
        <rFont val="Calibri"/>
        <family val="2"/>
      </rPr>
      <t xml:space="preserve"> P6</t>
    </r>
  </si>
  <si>
    <t xml:space="preserve">Screenshot: Comma  error in first name. </t>
  </si>
  <si>
    <t>Tagline</t>
  </si>
  <si>
    <t>The logo should be clickable</t>
  </si>
  <si>
    <t>Should not be any spelling or grammar errors</t>
  </si>
  <si>
    <t>The website should have placeholder in search box</t>
  </si>
  <si>
    <t>the product is searched that is valid or not</t>
  </si>
  <si>
    <t>The display should display an error message to the required character</t>
  </si>
  <si>
    <t>Verify that the type of maximum  number in search box</t>
  </si>
  <si>
    <t>The system should display an error message according to the required number</t>
  </si>
  <si>
    <t>Check that the phone number is 11 digits or not</t>
  </si>
  <si>
    <t>phone number should be 11 digits</t>
  </si>
  <si>
    <t>The verification should not work and displayed registered properly without 11 digits phone number</t>
  </si>
  <si>
    <t>The verification not work and displayed registered properly with 11 digits phone number</t>
  </si>
  <si>
    <t>Brave, Chrome, Microsoft edge</t>
  </si>
  <si>
    <t>Logo</t>
  </si>
  <si>
    <t xml:space="preserve">Verify that the submitted without required field are empty
</t>
  </si>
  <si>
    <t>Empty field</t>
  </si>
  <si>
    <t xml:space="preserve">The system should not work and displayed </t>
  </si>
  <si>
    <t>Without verification phone number</t>
  </si>
  <si>
    <t>Verification phone number</t>
  </si>
  <si>
    <t>Verify with proper 11 digits phone number</t>
  </si>
  <si>
    <t>Verify that the submitted all field without name field</t>
  </si>
  <si>
    <t>Without name field</t>
  </si>
  <si>
    <t xml:space="preserve">The system should not work and displayed without proper first name </t>
  </si>
  <si>
    <t>Without first name field</t>
  </si>
  <si>
    <t xml:space="preserve">Verify that the submitted all field without first name field
</t>
  </si>
  <si>
    <t>Verify that the submitted all field without last name field</t>
  </si>
  <si>
    <t>Without last name field</t>
  </si>
  <si>
    <t>The system should not work and displayed without proper last name</t>
  </si>
  <si>
    <t>Asterisk sign</t>
  </si>
  <si>
    <t xml:space="preserve">The system should have a asterisk sign </t>
  </si>
  <si>
    <t>Special character :  %, $, #, @, !, &amp;,*</t>
  </si>
  <si>
    <t>The system should not work and displayed with special sign</t>
  </si>
  <si>
    <t xml:space="preserve">Placeholder </t>
  </si>
  <si>
    <t>The system should have placeholder</t>
  </si>
  <si>
    <t>The system should not work and displayed the required quantity of minimum character</t>
  </si>
  <si>
    <t>The system should not work and displayed the required quantity of maximum character</t>
  </si>
  <si>
    <t>Minimum character - d</t>
  </si>
  <si>
    <t>Maximum character - mdsojfnsefgipesfjg vmkdffvpokfjkd vkmdpjrjonwmamv</t>
  </si>
  <si>
    <t>Empty email field</t>
  </si>
  <si>
    <t>The system should not work without email</t>
  </si>
  <si>
    <t>Wrong email jdhfh.com</t>
  </si>
  <si>
    <t>Should not work</t>
  </si>
  <si>
    <t>wrong email hy3.com</t>
  </si>
  <si>
    <t>should not work</t>
  </si>
  <si>
    <t>Verify that the asterisk(*) sign in password field</t>
  </si>
  <si>
    <t>Verify that a chat box is available or not in my product review section</t>
  </si>
  <si>
    <t>Verify that he empty my product review is displayed when no order to confirm</t>
  </si>
  <si>
    <t>Verify that products are displayed based on the selected ram size</t>
  </si>
  <si>
    <t>processor rsize</t>
  </si>
  <si>
    <t>processor option is working</t>
  </si>
  <si>
    <t>Displayed based on the selected ram size</t>
  </si>
  <si>
    <t xml:space="preserve">Verify that he ram size option is clickble </t>
  </si>
  <si>
    <t xml:space="preserve">RAM size is clickable </t>
  </si>
  <si>
    <t>Verify that products are displayed based on the selected processor size</t>
  </si>
  <si>
    <t>based on the selected processor size</t>
  </si>
  <si>
    <t>select a future checkbox</t>
  </si>
  <si>
    <t>Verify that the user can select a express delivery checkbox</t>
  </si>
  <si>
    <t>Verify that the useer can unselect a selected checkbox</t>
  </si>
  <si>
    <t>unselect a selected checkbox</t>
  </si>
  <si>
    <t>Verify that products are filtered when a feature is selected</t>
  </si>
  <si>
    <t>filtered when a feature is selected</t>
  </si>
  <si>
    <t>Verify that multiple features can be selected together</t>
  </si>
  <si>
    <t>multiple features can be selected together</t>
  </si>
  <si>
    <t>Verify that the express delivery option is working properly</t>
  </si>
  <si>
    <t>express delivery option</t>
  </si>
  <si>
    <t>Verify that the free delivery details is working or not</t>
  </si>
  <si>
    <t>free dellvery details link work or not</t>
  </si>
  <si>
    <t>Verify that hte products are displayed under the free delivery option</t>
  </si>
  <si>
    <t>Verify that the free delivery option is selectable</t>
  </si>
  <si>
    <t>free dellivery option is selectable</t>
  </si>
  <si>
    <t>Verify that the color changes when clicking on the free delivery option</t>
  </si>
  <si>
    <t>color changes</t>
  </si>
  <si>
    <t>Verify that all required social media links are presenr in the footer</t>
  </si>
  <si>
    <t>required social media</t>
  </si>
  <si>
    <t>must be linked all social media</t>
  </si>
  <si>
    <t>Verify that the email in the footer is linked correctly</t>
  </si>
  <si>
    <t>email in the footer is linked correctly</t>
  </si>
  <si>
    <t>clicking the email should open the default email</t>
  </si>
  <si>
    <t>Verify that the email is displayed in the footer section</t>
  </si>
  <si>
    <t>email is displayed in the footer section</t>
  </si>
  <si>
    <t>its mendatory for the user</t>
  </si>
  <si>
    <t>Verify that the telephone number is displayed in the footer section</t>
  </si>
  <si>
    <t>telephone number in footer section</t>
  </si>
  <si>
    <t>it s mendatory for the user</t>
  </si>
  <si>
    <t>Verify that the address in the footer is linked to google map</t>
  </si>
  <si>
    <t>address is linked in google map</t>
  </si>
  <si>
    <t>must be linked to google maps</t>
  </si>
  <si>
    <t>Verify that the address is dislayed in the footer section</t>
  </si>
  <si>
    <t>address in footer section</t>
  </si>
  <si>
    <t>Verify that the footer section cintains all required elements</t>
  </si>
  <si>
    <t>all required elements</t>
  </si>
  <si>
    <t xml:space="preserve">Veirfy that the about section content is correct and complete </t>
  </si>
  <si>
    <t>Verify that the help section content is available or not</t>
  </si>
  <si>
    <t>Verify that the play store download link is present</t>
  </si>
  <si>
    <t>about section</t>
  </si>
  <si>
    <t>help section</t>
  </si>
  <si>
    <t>playstore link</t>
  </si>
  <si>
    <t>all content should be present and correct</t>
  </si>
  <si>
    <t>appstore link</t>
  </si>
  <si>
    <t>Its mendatory for the user</t>
  </si>
  <si>
    <t xml:space="preserve">three dot navigation icon work or not </t>
  </si>
  <si>
    <t>it should be work,clickable and sggestable</t>
  </si>
  <si>
    <t>firsst navigation</t>
  </si>
  <si>
    <t>It should be clickable and go to next page</t>
  </si>
  <si>
    <t>Suggest all brand in first navigation</t>
  </si>
  <si>
    <t>It should be suggests all brands</t>
  </si>
  <si>
    <t xml:space="preserve">clickable all brands </t>
  </si>
  <si>
    <t>proper details</t>
  </si>
  <si>
    <t xml:space="preserve"> total item</t>
  </si>
  <si>
    <t>It should be proper diplayed in details</t>
  </si>
  <si>
    <t>It should be diaplayed properly , how many items can displayed</t>
  </si>
  <si>
    <t>price range</t>
  </si>
  <si>
    <t>rice range</t>
  </si>
  <si>
    <t>It should be work and type minimum to range</t>
  </si>
  <si>
    <t>Maximum minimum price/20000</t>
  </si>
  <si>
    <t>Maximum price 20000000</t>
  </si>
  <si>
    <t xml:space="preserve">What message is displayed when products are not available </t>
  </si>
  <si>
    <t>Chat box is available or not in every brand function option</t>
  </si>
  <si>
    <t>Display size</t>
  </si>
  <si>
    <t>It should work and displayed if 20000</t>
  </si>
  <si>
    <t>I should be work and displayed if 200000</t>
  </si>
  <si>
    <t>When product are not available it show it’s not available now</t>
  </si>
  <si>
    <t>A chat box is mendatory in every brand</t>
  </si>
  <si>
    <t>It should be wrok properly and go to next page</t>
  </si>
  <si>
    <t xml:space="preserve">All size available properly show </t>
  </si>
  <si>
    <t xml:space="preserve">The system should be show all size </t>
  </si>
  <si>
    <t>Clickale all size</t>
  </si>
  <si>
    <t>The system should be clickable and displayed</t>
  </si>
  <si>
    <t>The system should be wrok properly</t>
  </si>
  <si>
    <t>The check box should be unchecked</t>
  </si>
  <si>
    <t>The system should be selcted successfully</t>
  </si>
  <si>
    <t>Only products with 4K feature should be filtered</t>
  </si>
  <si>
    <t>User can selected multiple option</t>
  </si>
  <si>
    <t>The system should be displayed properly</t>
  </si>
  <si>
    <t>The products are displayed under the free delivery option</t>
  </si>
  <si>
    <t>The freed delivery option color should change</t>
  </si>
  <si>
    <t>Change email address</t>
  </si>
  <si>
    <t>placeholder is present in change email option</t>
  </si>
  <si>
    <t>It should be changed</t>
  </si>
  <si>
    <t>Order button</t>
  </si>
  <si>
    <t>Save button is work</t>
  </si>
  <si>
    <t xml:space="preserve">It should be wrok properly  to save </t>
  </si>
  <si>
    <t xml:space="preserve">It should be clickable and go to next page </t>
  </si>
  <si>
    <t>Empty my order option is displayed when no item are order</t>
  </si>
  <si>
    <t>Chat box in my order section</t>
  </si>
  <si>
    <t>A chat box is work</t>
  </si>
  <si>
    <t>When no order to submitted, displayed to show</t>
  </si>
  <si>
    <t>A chat box is available in every section</t>
  </si>
  <si>
    <t>It successfully work</t>
  </si>
  <si>
    <t>Empty my product review</t>
  </si>
  <si>
    <t>chat box is available in my product review section</t>
  </si>
  <si>
    <t>As per as expected</t>
  </si>
  <si>
    <t>A chat box is work or not in my product review</t>
  </si>
  <si>
    <t>Verify that the cart button is work or not</t>
  </si>
  <si>
    <t>Every single option work or not under my account</t>
  </si>
  <si>
    <t xml:space="preserve">I should be work properly and displayed </t>
  </si>
  <si>
    <t>My point summary</t>
  </si>
  <si>
    <t>It should clickable and go to next page</t>
  </si>
  <si>
    <t>Pickaboo option buttonn work or not</t>
  </si>
  <si>
    <t>Verify that the pickaboo club option is work or not</t>
  </si>
  <si>
    <t>When click pickaboo option it should takes to next page</t>
  </si>
  <si>
    <t>It should edit all information</t>
  </si>
  <si>
    <t>Edit account information</t>
  </si>
  <si>
    <t>Cart button</t>
  </si>
  <si>
    <t>System should work and go to the next page</t>
  </si>
  <si>
    <t>Empty password</t>
  </si>
  <si>
    <t>The password sysstem should not work</t>
  </si>
  <si>
    <t>Asterisk (*) sign in password field</t>
  </si>
  <si>
    <t>The system should have the asterik sign</t>
  </si>
  <si>
    <t>Pop up error only number</t>
  </si>
  <si>
    <t>hovers over the cart button</t>
  </si>
  <si>
    <t>The system should an underline or visual hover indicate that the cursor is hoverinf=g over it</t>
  </si>
  <si>
    <t>empty cart message id displayed</t>
  </si>
  <si>
    <t>the system should display an empty cart</t>
  </si>
  <si>
    <t>The total cart is displayed after adding</t>
  </si>
  <si>
    <t>Total cart price is displayed</t>
  </si>
  <si>
    <t xml:space="preserve">The system should displayed total cart price </t>
  </si>
  <si>
    <t>The system should displayed total cart after adding product ot the cart</t>
  </si>
  <si>
    <t>Chat box work or not</t>
  </si>
  <si>
    <t>Thee system must work when cllick the chat</t>
  </si>
  <si>
    <t>Proceed to checkout box is work or not</t>
  </si>
  <si>
    <t>The system should have click to next option</t>
  </si>
  <si>
    <t>Add new adress option</t>
  </si>
  <si>
    <t>Add new address save</t>
  </si>
  <si>
    <t>The system should have work properly</t>
  </si>
  <si>
    <t>All required option in add new address field</t>
  </si>
  <si>
    <t>should have all required field</t>
  </si>
  <si>
    <t>auto area selected</t>
  </si>
  <si>
    <t xml:space="preserve">Changaddress </t>
  </si>
  <si>
    <t>The system should change address or editClick on search box</t>
  </si>
  <si>
    <t xml:space="preserve"> click on search box</t>
  </si>
  <si>
    <t>The system should be click on search box</t>
  </si>
  <si>
    <t>Search on valid product</t>
  </si>
  <si>
    <t>Type of minimum character</t>
  </si>
  <si>
    <t>Type of maximum character</t>
  </si>
  <si>
    <t>Placeholder</t>
  </si>
  <si>
    <t>Display on Home page</t>
  </si>
  <si>
    <t>should display on Home page</t>
  </si>
  <si>
    <t>Pickaboo logo display in footer</t>
  </si>
  <si>
    <t>should display in footer</t>
  </si>
  <si>
    <t>click in "About Us"</t>
  </si>
  <si>
    <t>Should clickable</t>
  </si>
  <si>
    <t>Click in "Contact Us"</t>
  </si>
  <si>
    <t>Click on privacy policy link</t>
  </si>
  <si>
    <t>should cllickable</t>
  </si>
  <si>
    <t>see the terms and conditions llink</t>
  </si>
  <si>
    <t>should display appropriately</t>
  </si>
  <si>
    <t>cllick return pollicy link</t>
  </si>
  <si>
    <t>should clickable properly</t>
  </si>
  <si>
    <t>click on FAQ link</t>
  </si>
  <si>
    <t>click on careers link</t>
  </si>
  <si>
    <t>should cllickable and display properly</t>
  </si>
  <si>
    <t>click on facebook icon</t>
  </si>
  <si>
    <t>should go on the facebook pa</t>
  </si>
  <si>
    <t>should go on the YouTube page</t>
  </si>
  <si>
    <t>click on YouTube icon</t>
  </si>
  <si>
    <t>click on Instagram icon</t>
  </si>
  <si>
    <t>should go on the Instagram icon</t>
  </si>
  <si>
    <t xml:space="preserve">see the copyright information </t>
  </si>
  <si>
    <t>cpyright information section should exist</t>
  </si>
  <si>
    <t>footer layout should on different scrreen size</t>
  </si>
  <si>
    <t>footer layout  in screen size</t>
  </si>
  <si>
    <t>fall footer links should be vaild</t>
  </si>
  <si>
    <t>see if all the links are valid</t>
  </si>
  <si>
    <t xml:space="preserve">Verify the the submitted weak password
</t>
  </si>
  <si>
    <t xml:space="preserve">click </t>
  </si>
  <si>
    <t>The password system should not work</t>
  </si>
  <si>
    <t>should work</t>
  </si>
  <si>
    <t>Not Found as per expectation.</t>
  </si>
  <si>
    <t>give password: 123456</t>
  </si>
  <si>
    <t>should display pop up message</t>
  </si>
  <si>
    <t>check by clicking back button</t>
  </si>
  <si>
    <t xml:space="preserve">should display </t>
  </si>
  <si>
    <t>file:///C:/Users/samia%20jannat/Downloads/Doc1.pdf</t>
  </si>
  <si>
    <t>edit and save new address</t>
  </si>
  <si>
    <t>should save new address</t>
  </si>
  <si>
    <t>Vedrify that the tagline is visible or not</t>
  </si>
  <si>
    <t>The tagline should be display</t>
  </si>
  <si>
    <t>Foumd as per expectation</t>
  </si>
  <si>
    <t>Not found as per expectation</t>
  </si>
  <si>
    <t>FAiled</t>
  </si>
  <si>
    <t>Verify that the processed to check out box work or not</t>
  </si>
  <si>
    <t>PAssed</t>
  </si>
  <si>
    <t>Dhaka</t>
  </si>
  <si>
    <t>Should be add new address</t>
  </si>
  <si>
    <t>Verify that the all required option in addnew  field</t>
  </si>
  <si>
    <t>Verify the "Cookie Policy" link is working</t>
  </si>
  <si>
    <t>Serial</t>
  </si>
  <si>
    <t xml:space="preserve">Verify that the apps store download link is present </t>
  </si>
  <si>
    <t xml:space="preserve">Verify that the app gallery download link is present </t>
  </si>
  <si>
    <t>App Gallery Link</t>
  </si>
  <si>
    <t xml:space="preserve">all requirement elements are available </t>
  </si>
  <si>
    <t>the address system must be available</t>
  </si>
  <si>
    <t>found as per expectation</t>
  </si>
  <si>
    <t xml:space="preserve">The system should be wrok properly and displayed </t>
  </si>
  <si>
    <t>The system should be selected based on the processor size</t>
  </si>
  <si>
    <t xml:space="preserve">The system should be work properly </t>
  </si>
  <si>
    <t>The system should be change the color</t>
  </si>
  <si>
    <t>The system shuld express delivery system</t>
  </si>
  <si>
    <t>The system should be displayed only the products bassed on the rsm based</t>
  </si>
  <si>
    <t>It should not be work for minimum and maximum to range</t>
  </si>
  <si>
    <t>It should be clickable all brands and displayed</t>
  </si>
  <si>
    <t>The system should haave present in email field</t>
  </si>
  <si>
    <t>The system should select auto area when give new addresses</t>
  </si>
  <si>
    <t>Validate the working of the "Add cart functionality" functionality.</t>
  </si>
  <si>
    <t>Validate the working save address</t>
  </si>
  <si>
    <t>Validate the working of " Search Bar" functionality.</t>
  </si>
  <si>
    <t>Validate the working of "Forgotten Password" functionality.</t>
  </si>
  <si>
    <t>Validate the working of  "Accessories" functionality.</t>
  </si>
  <si>
    <t>Validate the working of  "Support" functionality.</t>
  </si>
  <si>
    <t>Validate the working of "Address" functionality.</t>
  </si>
  <si>
    <t>Validate the working of "About usl" functionality.</t>
  </si>
  <si>
    <t>Validate the working of  "Download" functionality.</t>
  </si>
  <si>
    <t>Validate the working of  "Social"functionality.</t>
  </si>
  <si>
    <t>TS_003</t>
  </si>
  <si>
    <t>TS_005</t>
  </si>
  <si>
    <t>TS_007</t>
  </si>
  <si>
    <t>TS_008</t>
  </si>
  <si>
    <t>TS_011</t>
  </si>
  <si>
    <t>Reference Document</t>
  </si>
  <si>
    <t>Created By</t>
  </si>
  <si>
    <t>Pickaboo</t>
  </si>
  <si>
    <t>Project Name</t>
  </si>
  <si>
    <t>FRS</t>
  </si>
  <si>
    <t>Jannatul Ferdous Samia</t>
  </si>
  <si>
    <t>20-05-2026</t>
  </si>
  <si>
    <t>Pickaboo.com</t>
  </si>
  <si>
    <t>Full Website</t>
  </si>
  <si>
    <t>All</t>
  </si>
  <si>
    <t xml:space="preserve">1. Goto the URL
https:/www.pickaboocom.bd
2. Click on search box
</t>
  </si>
  <si>
    <t>Expected: The system should display an error message if the user enters fewer characters than the minimum required</t>
  </si>
  <si>
    <t>Responsible QA: Jannatul Ferdous Samia</t>
  </si>
  <si>
    <r>
      <t>Env:</t>
    </r>
    <r>
      <rPr>
        <sz val="10"/>
        <color rgb="FF000000"/>
        <rFont val="Calibri"/>
        <family val="2"/>
      </rPr>
      <t xml:space="preserve"> Productizn.</t>
    </r>
  </si>
  <si>
    <t># SL 01 Verify that the type of minimum character in search box</t>
  </si>
  <si>
    <r>
      <t xml:space="preserve">Issue: </t>
    </r>
    <r>
      <rPr>
        <sz val="11"/>
        <color rgb="FF000000"/>
        <rFont val="Calibri"/>
        <family val="2"/>
      </rPr>
      <t>Registered with invalid email address.</t>
    </r>
  </si>
  <si>
    <t>Screenshot: Search minimum character in search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</si>
</sst>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Calibri"/>
      <family val="2"/>
      <scheme val="minor"/>
    </font>
    <font>
      <u/>
      <sz val="11"/>
      <color theme="10"/>
      <name val="Calibri"/>
      <family val="2"/>
      <scheme val="minor"/>
    </font>
    <font>
      <sz val="12"/>
      <color rgb="FFFFFFFF"/>
      <name val="Times New Roman"/>
      <family val="1"/>
    </font>
    <font>
      <sz val="11"/>
      <color rgb="FF000000"/>
      <name val="Calibri"/>
      <family val="2"/>
    </font>
    <font>
      <b/>
      <sz val="11"/>
      <color rgb="FF000000"/>
      <name val="Calibri"/>
      <family val="2"/>
    </font>
    <font>
      <sz val="11"/>
      <color rgb="FF000000"/>
      <name val="Arial"/>
      <family val="2"/>
    </font>
    <font>
      <sz val="10"/>
      <color rgb="FF000000"/>
      <name val="Arial"/>
      <family val="2"/>
    </font>
    <font>
      <b/>
      <sz val="10"/>
      <color rgb="FF000000"/>
      <name val="Arial"/>
      <family val="2"/>
    </font>
    <font>
      <sz val="11"/>
      <color theme="1"/>
      <name val="Arial"/>
      <family val="2"/>
    </font>
    <font>
      <sz val="10"/>
      <color rgb="FF000000"/>
      <name val="Verdana"/>
      <family val="2"/>
    </font>
    <font>
      <b/>
      <sz val="12"/>
      <color theme="1"/>
      <name val="Calibri"/>
      <family val="2"/>
    </font>
    <font>
      <b/>
      <sz val="10"/>
      <color rgb="FFFFFFFF"/>
      <name val="Arial"/>
      <family val="2"/>
    </font>
    <font>
      <sz val="10"/>
      <color rgb="FFFFFFFF"/>
      <name val="Verdana"/>
      <family val="2"/>
    </font>
    <font>
      <b/>
      <sz val="11"/>
      <color theme="1"/>
      <name val="Calibri"/>
      <family val="2"/>
    </font>
    <font>
      <sz val="11"/>
      <color rgb="FFFFFFFF"/>
      <name val="Calibri"/>
      <family val="2"/>
    </font>
    <font>
      <sz val="10"/>
      <color rgb="FF000000"/>
      <name val="Calibri"/>
      <family val="2"/>
    </font>
    <font>
      <sz val="11"/>
      <color theme="1"/>
      <name val="Calibri"/>
      <family val="2"/>
    </font>
    <font>
      <sz val="10"/>
      <color theme="1"/>
      <name val="Arial"/>
      <family val="2"/>
    </font>
    <font>
      <sz val="8"/>
      <name val="Calibri"/>
      <family val="2"/>
      <scheme val="minor"/>
    </font>
    <font>
      <sz val="10"/>
      <name val="Calibri"/>
      <family val="2"/>
    </font>
    <font>
      <b/>
      <sz val="24"/>
      <color rgb="FFFFFFFF"/>
      <name val="Calibri"/>
      <family val="2"/>
    </font>
    <font>
      <b/>
      <sz val="11"/>
      <color theme="1"/>
      <name val="Comfortaa"/>
    </font>
    <font>
      <b/>
      <sz val="14"/>
      <color theme="1"/>
      <name val="Calibri"/>
      <family val="2"/>
    </font>
    <font>
      <b/>
      <sz val="12"/>
      <color rgb="FF222222"/>
      <name val="Arial"/>
      <family val="2"/>
    </font>
    <font>
      <b/>
      <sz val="10"/>
      <color theme="1"/>
      <name val="Arial"/>
      <family val="2"/>
    </font>
    <font>
      <sz val="10"/>
      <color rgb="FF222222"/>
      <name val="Arial"/>
      <family val="2"/>
    </font>
    <font>
      <b/>
      <sz val="18"/>
      <color rgb="FFFFD965"/>
      <name val="Calibri"/>
      <family val="2"/>
    </font>
    <font>
      <b/>
      <sz val="14"/>
      <color rgb="FF000000"/>
      <name val="Calibri"/>
      <family val="2"/>
    </font>
    <font>
      <b/>
      <sz val="10"/>
      <color rgb="FF000000"/>
      <name val="Calibri"/>
      <family val="2"/>
    </font>
    <font>
      <b/>
      <sz val="20"/>
      <color rgb="FF000000"/>
      <name val="Calibri"/>
      <family val="2"/>
    </font>
    <font>
      <b/>
      <sz val="12"/>
      <color rgb="FF000000"/>
      <name val="Calibri"/>
      <family val="2"/>
    </font>
    <font>
      <b/>
      <u/>
      <sz val="11"/>
      <color rgb="FF0000FF"/>
      <name val="Calibri"/>
      <family val="2"/>
    </font>
    <font>
      <b/>
      <u/>
      <sz val="11"/>
      <color theme="4"/>
      <name val="Calibri"/>
      <family val="2"/>
    </font>
    <font>
      <u/>
      <sz val="10"/>
      <color rgb="FF0000FF"/>
      <name val="Calibri"/>
      <family val="2"/>
    </font>
    <font>
      <sz val="18"/>
      <color theme="1"/>
      <name val="Calibri"/>
      <family val="2"/>
      <scheme val="minor"/>
    </font>
    <font>
      <sz val="16"/>
      <color rgb="FF000000"/>
      <name val="Calibri"/>
      <family val="2"/>
    </font>
    <font>
      <b/>
      <sz val="16"/>
      <color theme="1"/>
      <name val="Calibri"/>
      <family val="2"/>
    </font>
    <font>
      <sz val="16"/>
      <color theme="0" tint="-4.9989318521683403E-2"/>
      <name val="Verdana"/>
      <family val="2"/>
    </font>
    <font>
      <b/>
      <sz val="16"/>
      <color rgb="FFFFFFFF"/>
      <name val="Calibri"/>
      <family val="2"/>
    </font>
    <font>
      <b/>
      <sz val="16"/>
      <color rgb="FFFFFFFF"/>
      <name val="Times New Roman"/>
      <family val="1"/>
    </font>
    <font>
      <b/>
      <sz val="16"/>
      <color theme="0"/>
      <name val="Calibri"/>
      <family val="2"/>
    </font>
    <font>
      <sz val="16"/>
      <color rgb="FFFFFFFF"/>
      <name val="Times New Roman"/>
      <family val="1"/>
    </font>
    <font>
      <b/>
      <sz val="16"/>
      <color rgb="FF000000"/>
      <name val="Calibri"/>
      <family val="2"/>
    </font>
    <font>
      <sz val="16"/>
      <color rgb="FF000000"/>
      <name val="Arial"/>
      <family val="2"/>
    </font>
    <font>
      <b/>
      <sz val="16"/>
      <color rgb="FFFF0000"/>
      <name val="Arial"/>
      <family val="2"/>
    </font>
    <font>
      <b/>
      <sz val="16"/>
      <color rgb="FF000000"/>
      <name val="Arial"/>
      <family val="2"/>
    </font>
    <font>
      <sz val="16"/>
      <color theme="1"/>
      <name val="Arial"/>
      <family val="2"/>
    </font>
    <font>
      <b/>
      <sz val="16"/>
      <color rgb="FF000000"/>
      <name val="Verdana"/>
      <family val="2"/>
    </font>
    <font>
      <sz val="16"/>
      <color rgb="FF000000"/>
      <name val="Verdana"/>
      <family val="2"/>
    </font>
    <font>
      <sz val="16"/>
      <color theme="1"/>
      <name val="Calibri"/>
      <family val="2"/>
    </font>
    <font>
      <b/>
      <sz val="16"/>
      <color rgb="FFFFFFFF"/>
      <name val="Arial"/>
      <family val="2"/>
    </font>
    <font>
      <b/>
      <sz val="16"/>
      <color rgb="FFFFFFFF"/>
      <name val="Verdana"/>
      <family val="2"/>
    </font>
    <font>
      <sz val="16"/>
      <color theme="1"/>
      <name val="Calibri"/>
      <family val="2"/>
      <scheme val="minor"/>
    </font>
    <font>
      <sz val="16"/>
      <color rgb="FFFFFFFF"/>
      <name val="Verdana"/>
      <family val="2"/>
    </font>
    <font>
      <sz val="16"/>
      <color rgb="FFFF0000"/>
      <name val="Arial"/>
      <family val="2"/>
    </font>
    <font>
      <sz val="16"/>
      <color rgb="FFFFFFFF"/>
      <name val="Arial"/>
      <family val="2"/>
    </font>
    <font>
      <sz val="16"/>
      <color rgb="FFFFFFFF"/>
      <name val="Calibri"/>
      <family val="2"/>
    </font>
    <font>
      <u/>
      <sz val="16"/>
      <color rgb="FFFF0000"/>
      <name val="Arial"/>
      <family val="2"/>
    </font>
    <font>
      <u/>
      <sz val="16"/>
      <color theme="10"/>
      <name val="Calibri"/>
      <family val="2"/>
      <scheme val="minor"/>
    </font>
    <font>
      <sz val="16"/>
      <color rgb="FF0000FF"/>
      <name val="Arial"/>
      <family val="2"/>
    </font>
    <font>
      <u/>
      <sz val="16"/>
      <color rgb="FF0000FF"/>
      <name val="Arial"/>
      <family val="2"/>
    </font>
    <font>
      <sz val="16"/>
      <color theme="1" tint="4.9989318521683403E-2"/>
      <name val="Arial"/>
      <family val="2"/>
    </font>
    <font>
      <sz val="16"/>
      <color rgb="FF808080"/>
      <name val="Arial"/>
      <family val="2"/>
    </font>
    <font>
      <sz val="16"/>
      <color rgb="FF808080"/>
      <name val="Calibri"/>
      <family val="2"/>
    </font>
    <font>
      <sz val="16"/>
      <color rgb="FFFF0000"/>
      <name val="Calibri"/>
      <family val="2"/>
    </font>
    <font>
      <sz val="16"/>
      <color rgb="FF0000FF"/>
      <name val="Calibri"/>
      <family val="2"/>
    </font>
    <font>
      <sz val="11"/>
      <color theme="0"/>
      <name val="Arial"/>
      <family val="2"/>
    </font>
  </fonts>
  <fills count="5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1" tint="0.499984740745262"/>
        <bgColor indexed="64"/>
      </patternFill>
    </fill>
    <fill>
      <patternFill patternType="solid">
        <fgColor rgb="FF00B050"/>
        <bgColor indexed="64"/>
      </patternFill>
    </fill>
    <fill>
      <patternFill patternType="solid">
        <fgColor rgb="FFFF0000"/>
        <bgColor indexed="64"/>
      </patternFill>
    </fill>
    <fill>
      <patternFill patternType="solid">
        <fgColor theme="8"/>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FFFF"/>
        <bgColor rgb="FFFFFFFF"/>
      </patternFill>
    </fill>
    <fill>
      <patternFill patternType="solid">
        <fgColor rgb="FFCCCCCC"/>
        <bgColor rgb="FFCCCCCC"/>
      </patternFill>
    </fill>
    <fill>
      <patternFill patternType="solid">
        <fgColor rgb="FF93C47D"/>
        <bgColor rgb="FF93C47D"/>
      </patternFill>
    </fill>
    <fill>
      <patternFill patternType="solid">
        <fgColor rgb="FFFF0000"/>
        <bgColor rgb="FFFF0000"/>
      </patternFill>
    </fill>
    <fill>
      <patternFill patternType="solid">
        <fgColor theme="0"/>
        <bgColor theme="0"/>
      </patternFill>
    </fill>
    <fill>
      <patternFill patternType="solid">
        <fgColor rgb="FFBFBFBF"/>
        <bgColor rgb="FFBFBFBF"/>
      </patternFill>
    </fill>
    <fill>
      <patternFill patternType="solid">
        <fgColor theme="3" tint="0.39997558519241921"/>
        <bgColor indexed="64"/>
      </patternFill>
    </fill>
    <fill>
      <patternFill patternType="solid">
        <fgColor theme="8" tint="-0.249977111117893"/>
        <bgColor indexed="64"/>
      </patternFill>
    </fill>
    <fill>
      <patternFill patternType="solid">
        <fgColor theme="8" tint="-0.249977111117893"/>
        <bgColor theme="5"/>
      </patternFill>
    </fill>
    <fill>
      <patternFill patternType="solid">
        <fgColor theme="0"/>
        <bgColor rgb="FF999999"/>
      </patternFill>
    </fill>
    <fill>
      <patternFill patternType="solid">
        <fgColor theme="0"/>
        <bgColor rgb="FFCCCCCC"/>
      </patternFill>
    </fill>
    <fill>
      <patternFill patternType="solid">
        <fgColor rgb="FF2F5496"/>
        <bgColor rgb="FF2F5496"/>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FC000"/>
        <bgColor rgb="FFFFC000"/>
      </patternFill>
    </fill>
    <fill>
      <patternFill patternType="solid">
        <fgColor rgb="FF548135"/>
        <bgColor rgb="FF548135"/>
      </patternFill>
    </fill>
    <fill>
      <patternFill patternType="solid">
        <fgColor rgb="FFF4B083"/>
        <bgColor rgb="FFF4B083"/>
      </patternFill>
    </fill>
    <fill>
      <patternFill patternType="solid">
        <fgColor theme="5"/>
        <bgColor theme="5"/>
      </patternFill>
    </fill>
    <fill>
      <patternFill patternType="solid">
        <fgColor rgb="FFF2F2F2"/>
        <bgColor rgb="FFF2F2F2"/>
      </patternFill>
    </fill>
    <fill>
      <patternFill patternType="solid">
        <fgColor rgb="FFE7E6E6"/>
        <bgColor rgb="FFE7E6E6"/>
      </patternFill>
    </fill>
    <fill>
      <patternFill patternType="solid">
        <fgColor theme="3" tint="0.59999389629810485"/>
        <bgColor indexed="64"/>
      </patternFill>
    </fill>
    <fill>
      <patternFill patternType="solid">
        <fgColor theme="6" tint="-0.249977111117893"/>
        <bgColor indexed="64"/>
      </patternFill>
    </fill>
    <fill>
      <patternFill patternType="solid">
        <fgColor theme="2"/>
        <bgColor indexed="64"/>
      </patternFill>
    </fill>
    <fill>
      <patternFill patternType="solid">
        <fgColor theme="2"/>
        <bgColor rgb="FFFFFFFF"/>
      </patternFill>
    </fill>
    <fill>
      <patternFill patternType="solid">
        <fgColor theme="9" tint="0.39997558519241921"/>
        <bgColor rgb="FFCCCCCC"/>
      </patternFill>
    </fill>
    <fill>
      <patternFill patternType="solid">
        <fgColor theme="4" tint="-0.249977111117893"/>
        <bgColor indexed="64"/>
      </patternFill>
    </fill>
    <fill>
      <patternFill patternType="solid">
        <fgColor theme="4" tint="-0.249977111117893"/>
        <bgColor rgb="FF2F5496"/>
      </patternFill>
    </fill>
  </fills>
  <borders count="62">
    <border>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medium">
        <color indexed="64"/>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rgb="FF000000"/>
      </bottom>
      <diagonal/>
    </border>
    <border>
      <left style="medium">
        <color rgb="FF000000"/>
      </left>
      <right/>
      <top style="medium">
        <color indexed="64"/>
      </top>
      <bottom/>
      <diagonal/>
    </border>
    <border>
      <left style="medium">
        <color indexed="64"/>
      </left>
      <right style="medium">
        <color indexed="64"/>
      </right>
      <top style="medium">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thin">
        <color rgb="FF000000"/>
      </top>
      <bottom style="thin">
        <color rgb="FF000000"/>
      </bottom>
      <diagonal/>
    </border>
    <border>
      <left style="medium">
        <color rgb="FF000000"/>
      </left>
      <right style="medium">
        <color indexed="64"/>
      </right>
      <top style="medium">
        <color rgb="FF000000"/>
      </top>
      <bottom style="medium">
        <color rgb="FF000000"/>
      </bottom>
      <diagonal/>
    </border>
    <border>
      <left style="thin">
        <color theme="1"/>
      </left>
      <right/>
      <top/>
      <bottom/>
      <diagonal/>
    </border>
    <border>
      <left style="medium">
        <color indexed="64"/>
      </left>
      <right/>
      <top style="medium">
        <color indexed="64"/>
      </top>
      <bottom/>
      <diagonal/>
    </border>
    <border>
      <left style="thin">
        <color rgb="FF000000"/>
      </left>
      <right/>
      <top style="thin">
        <color rgb="FF000000"/>
      </top>
      <bottom/>
      <diagonal/>
    </border>
    <border>
      <left style="medium">
        <color indexed="64"/>
      </left>
      <right/>
      <top style="medium">
        <color indexed="64"/>
      </top>
      <bottom style="medium">
        <color rgb="FF000000"/>
      </bottom>
      <diagonal/>
    </border>
    <border>
      <left style="medium">
        <color indexed="64"/>
      </left>
      <right/>
      <top style="medium">
        <color rgb="FF000000"/>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rgb="FF000000"/>
      </right>
      <top style="medium">
        <color indexed="64"/>
      </top>
      <bottom/>
      <diagonal/>
    </border>
    <border>
      <left/>
      <right style="medium">
        <color indexed="64"/>
      </right>
      <top/>
      <bottom style="medium">
        <color indexed="64"/>
      </bottom>
      <diagonal/>
    </border>
    <border>
      <left style="thin">
        <color theme="0"/>
      </left>
      <right/>
      <top style="thin">
        <color theme="0"/>
      </top>
      <bottom style="thin">
        <color theme="0"/>
      </bottom>
      <diagonal/>
    </border>
    <border>
      <left style="thin">
        <color rgb="FFFFFFFF"/>
      </left>
      <right/>
      <top/>
      <bottom style="thin">
        <color rgb="FFFFFFFF"/>
      </bottom>
      <diagonal/>
    </border>
    <border>
      <left/>
      <right style="thin">
        <color theme="1"/>
      </right>
      <top/>
      <bottom/>
      <diagonal/>
    </border>
    <border>
      <left style="medium">
        <color theme="1"/>
      </left>
      <right/>
      <top/>
      <bottom/>
      <diagonal/>
    </border>
    <border>
      <left/>
      <right style="medium">
        <color theme="1"/>
      </right>
      <top/>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style="medium">
        <color theme="1"/>
      </bottom>
      <diagonal/>
    </border>
    <border>
      <left/>
      <right style="medium">
        <color theme="1"/>
      </right>
      <top/>
      <bottom style="medium">
        <color theme="1"/>
      </bottom>
      <diagonal/>
    </border>
  </borders>
  <cellStyleXfs count="2">
    <xf numFmtId="0" fontId="0" fillId="0" borderId="0"/>
    <xf numFmtId="0" fontId="1" fillId="0" borderId="0" applyNumberFormat="0" applyFill="0" applyBorder="0" applyAlignment="0" applyProtection="0"/>
  </cellStyleXfs>
  <cellXfs count="346">
    <xf numFmtId="0" fontId="0" fillId="0" borderId="0" xfId="0"/>
    <xf numFmtId="0" fontId="1" fillId="0" borderId="0" xfId="1"/>
    <xf numFmtId="0" fontId="0" fillId="3" borderId="0" xfId="0" applyFill="1"/>
    <xf numFmtId="0" fontId="0" fillId="4" borderId="0" xfId="0" applyFill="1"/>
    <xf numFmtId="0" fontId="0" fillId="0" borderId="0" xfId="0" applyAlignment="1"/>
    <xf numFmtId="0" fontId="0" fillId="5" borderId="0" xfId="0" applyFill="1" applyAlignment="1"/>
    <xf numFmtId="0" fontId="0" fillId="6" borderId="0" xfId="0" applyFill="1" applyAlignment="1"/>
    <xf numFmtId="0" fontId="0" fillId="2" borderId="0" xfId="0" applyFill="1" applyAlignment="1"/>
    <xf numFmtId="0" fontId="0" fillId="7" borderId="0" xfId="0" applyFill="1" applyAlignment="1"/>
    <xf numFmtId="0" fontId="0" fillId="4" borderId="0" xfId="0" applyFill="1" applyAlignment="1"/>
    <xf numFmtId="0" fontId="0" fillId="9" borderId="10" xfId="0" applyFill="1" applyBorder="1" applyAlignment="1"/>
    <xf numFmtId="0" fontId="0" fillId="9" borderId="0" xfId="0" applyFill="1" applyBorder="1" applyAlignment="1"/>
    <xf numFmtId="0" fontId="0" fillId="16" borderId="0" xfId="0" applyFill="1" applyAlignment="1"/>
    <xf numFmtId="0" fontId="0" fillId="0" borderId="22" xfId="0" applyBorder="1"/>
    <xf numFmtId="0" fontId="0" fillId="0" borderId="0" xfId="0" applyBorder="1"/>
    <xf numFmtId="0" fontId="0" fillId="0" borderId="23" xfId="0" applyBorder="1"/>
    <xf numFmtId="0" fontId="0" fillId="0" borderId="17" xfId="0" applyBorder="1"/>
    <xf numFmtId="0" fontId="0" fillId="0" borderId="12" xfId="0" applyBorder="1"/>
    <xf numFmtId="0" fontId="0" fillId="0" borderId="14" xfId="0" applyBorder="1"/>
    <xf numFmtId="0" fontId="0" fillId="0" borderId="24" xfId="0" applyBorder="1"/>
    <xf numFmtId="0" fontId="3" fillId="0" borderId="12" xfId="0" applyFont="1" applyFill="1" applyBorder="1" applyAlignment="1">
      <alignment horizontal="left" vertical="center" wrapText="1"/>
    </xf>
    <xf numFmtId="0" fontId="0" fillId="0" borderId="18" xfId="0" applyBorder="1"/>
    <xf numFmtId="0" fontId="0" fillId="0" borderId="16" xfId="0" applyBorder="1"/>
    <xf numFmtId="0" fontId="8" fillId="0" borderId="0" xfId="0" applyFont="1" applyAlignment="1">
      <alignment horizontal="center" vertical="center"/>
    </xf>
    <xf numFmtId="0" fontId="8" fillId="0" borderId="0" xfId="0" applyFont="1" applyAlignment="1">
      <alignment vertical="top"/>
    </xf>
    <xf numFmtId="0" fontId="8" fillId="0" borderId="0" xfId="0" applyFont="1" applyAlignment="1">
      <alignment horizontal="left" vertical="center"/>
    </xf>
    <xf numFmtId="0" fontId="8" fillId="0" borderId="29" xfId="0" applyFont="1" applyBorder="1" applyAlignment="1">
      <alignment horizontal="center" vertical="center"/>
    </xf>
    <xf numFmtId="0" fontId="8" fillId="0" borderId="29" xfId="0" applyFont="1" applyBorder="1" applyAlignment="1">
      <alignment vertical="top"/>
    </xf>
    <xf numFmtId="0" fontId="8" fillId="0" borderId="29" xfId="0" applyFont="1" applyBorder="1" applyAlignment="1">
      <alignment horizontal="left" vertical="center"/>
    </xf>
    <xf numFmtId="0" fontId="11" fillId="21" borderId="29" xfId="0" applyFont="1" applyFill="1" applyBorder="1" applyAlignment="1">
      <alignment horizontal="center" vertical="center"/>
    </xf>
    <xf numFmtId="0" fontId="11" fillId="21" borderId="29" xfId="0" applyFont="1" applyFill="1" applyBorder="1" applyAlignment="1">
      <alignment horizontal="center" vertical="top"/>
    </xf>
    <xf numFmtId="0" fontId="11" fillId="21" borderId="29" xfId="0" applyFont="1" applyFill="1" applyBorder="1" applyAlignment="1">
      <alignment horizontal="left" vertical="center"/>
    </xf>
    <xf numFmtId="0" fontId="11" fillId="21" borderId="0" xfId="0" applyFont="1" applyFill="1" applyAlignment="1">
      <alignment horizontal="center" vertical="center"/>
    </xf>
    <xf numFmtId="0" fontId="11" fillId="21" borderId="31" xfId="0" applyFont="1" applyFill="1" applyBorder="1" applyAlignment="1">
      <alignment horizontal="center" vertical="center"/>
    </xf>
    <xf numFmtId="0" fontId="11" fillId="21" borderId="30" xfId="0" applyFont="1" applyFill="1" applyBorder="1" applyAlignment="1">
      <alignment horizontal="center" vertical="center"/>
    </xf>
    <xf numFmtId="0" fontId="11" fillId="21" borderId="30" xfId="0" applyFont="1" applyFill="1" applyBorder="1" applyAlignment="1">
      <alignment horizontal="left" vertical="center"/>
    </xf>
    <xf numFmtId="0" fontId="17" fillId="0" borderId="32" xfId="0" applyFont="1" applyBorder="1" applyAlignment="1">
      <alignment horizontal="center" vertical="center"/>
    </xf>
    <xf numFmtId="0" fontId="6" fillId="0" borderId="32" xfId="0" applyFont="1" applyBorder="1" applyAlignment="1">
      <alignment horizontal="center" vertical="center"/>
    </xf>
    <xf numFmtId="0" fontId="6" fillId="0" borderId="32" xfId="0" applyFont="1" applyBorder="1" applyAlignment="1">
      <alignment horizontal="left" vertical="center" wrapText="1"/>
    </xf>
    <xf numFmtId="49" fontId="17" fillId="0" borderId="32" xfId="0" applyNumberFormat="1" applyFont="1" applyBorder="1" applyAlignment="1">
      <alignment horizontal="center" vertical="center"/>
    </xf>
    <xf numFmtId="0" fontId="5" fillId="0" borderId="32" xfId="0" applyFont="1" applyBorder="1" applyAlignment="1">
      <alignment horizontal="left" vertical="center" wrapText="1"/>
    </xf>
    <xf numFmtId="0" fontId="5" fillId="0" borderId="32" xfId="0" applyFont="1" applyBorder="1" applyAlignment="1">
      <alignment horizontal="center" vertical="center"/>
    </xf>
    <xf numFmtId="0" fontId="13" fillId="24" borderId="35" xfId="0" applyFont="1" applyFill="1" applyBorder="1" applyAlignment="1">
      <alignment horizontal="left" vertical="center" wrapText="1"/>
    </xf>
    <xf numFmtId="0" fontId="13" fillId="24" borderId="33" xfId="0" applyFont="1" applyFill="1" applyBorder="1" applyAlignment="1">
      <alignment horizontal="left" vertical="center" wrapText="1"/>
    </xf>
    <xf numFmtId="0" fontId="13" fillId="24" borderId="6" xfId="0" applyFont="1" applyFill="1" applyBorder="1" applyAlignment="1">
      <alignment horizontal="left" vertical="center" wrapText="1"/>
    </xf>
    <xf numFmtId="0" fontId="10" fillId="26" borderId="34" xfId="0" applyFont="1" applyFill="1" applyBorder="1" applyAlignment="1">
      <alignment horizontal="center" vertical="top" wrapText="1"/>
    </xf>
    <xf numFmtId="0" fontId="10" fillId="26" borderId="30" xfId="0" applyFont="1" applyFill="1" applyBorder="1" applyAlignment="1">
      <alignment horizontal="center" vertical="top" wrapText="1"/>
    </xf>
    <xf numFmtId="0" fontId="10" fillId="26" borderId="38" xfId="0" applyFont="1" applyFill="1" applyBorder="1" applyAlignment="1">
      <alignment horizontal="center" vertical="top" wrapText="1"/>
    </xf>
    <xf numFmtId="0" fontId="16" fillId="27" borderId="34" xfId="0" applyFont="1" applyFill="1" applyBorder="1" applyAlignment="1">
      <alignment vertical="center"/>
    </xf>
    <xf numFmtId="0" fontId="16" fillId="28" borderId="30" xfId="0" applyFont="1" applyFill="1" applyBorder="1" applyAlignment="1">
      <alignment horizontal="center" vertical="center"/>
    </xf>
    <xf numFmtId="0" fontId="16" fillId="29" borderId="30" xfId="0" applyFont="1" applyFill="1" applyBorder="1" applyAlignment="1">
      <alignment horizontal="center" vertical="center"/>
    </xf>
    <xf numFmtId="0" fontId="16" fillId="30" borderId="30" xfId="0" applyFont="1" applyFill="1" applyBorder="1" applyAlignment="1">
      <alignment horizontal="center" vertical="center"/>
    </xf>
    <xf numFmtId="0" fontId="16" fillId="31" borderId="30" xfId="0" applyFont="1" applyFill="1" applyBorder="1" applyAlignment="1">
      <alignment horizontal="center" vertical="center"/>
    </xf>
    <xf numFmtId="0" fontId="3" fillId="32" borderId="38" xfId="0" applyFont="1" applyFill="1" applyBorder="1" applyAlignment="1">
      <alignment horizontal="center" vertical="center"/>
    </xf>
    <xf numFmtId="0" fontId="22" fillId="33" borderId="36" xfId="0" applyFont="1" applyFill="1" applyBorder="1" applyAlignment="1">
      <alignment horizontal="center"/>
    </xf>
    <xf numFmtId="0" fontId="22" fillId="33" borderId="39" xfId="0" applyFont="1" applyFill="1" applyBorder="1" applyAlignment="1">
      <alignment horizontal="center"/>
    </xf>
    <xf numFmtId="0" fontId="22" fillId="33" borderId="39" xfId="0" applyFont="1" applyFill="1" applyBorder="1" applyAlignment="1">
      <alignment horizontal="center" wrapText="1"/>
    </xf>
    <xf numFmtId="0" fontId="22" fillId="33" borderId="13" xfId="0" applyFont="1" applyFill="1" applyBorder="1" applyAlignment="1">
      <alignment horizontal="center"/>
    </xf>
    <xf numFmtId="0" fontId="17" fillId="0" borderId="0" xfId="0" applyFont="1" applyAlignment="1">
      <alignment vertical="top"/>
    </xf>
    <xf numFmtId="0" fontId="13" fillId="34" borderId="2" xfId="0" applyFont="1" applyFill="1" applyBorder="1" applyAlignment="1">
      <alignment horizontal="center" vertical="top" wrapText="1"/>
    </xf>
    <xf numFmtId="0" fontId="16" fillId="35" borderId="2" xfId="0" applyFont="1" applyFill="1" applyBorder="1" applyAlignment="1">
      <alignment horizontal="center" vertical="top"/>
    </xf>
    <xf numFmtId="0" fontId="0" fillId="0" borderId="0" xfId="0"/>
    <xf numFmtId="0" fontId="23" fillId="0" borderId="0" xfId="0" applyFont="1" applyAlignment="1">
      <alignment horizontal="center" vertical="center"/>
    </xf>
    <xf numFmtId="0" fontId="17" fillId="0" borderId="0" xfId="0" applyFont="1"/>
    <xf numFmtId="0" fontId="24" fillId="37" borderId="2" xfId="0" applyFont="1" applyFill="1" applyBorder="1" applyAlignment="1">
      <alignment horizontal="center"/>
    </xf>
    <xf numFmtId="0" fontId="23" fillId="0" borderId="0" xfId="0" applyFont="1"/>
    <xf numFmtId="0" fontId="17" fillId="0" borderId="2" xfId="0" applyFont="1" applyBorder="1" applyAlignment="1">
      <alignment horizontal="center"/>
    </xf>
    <xf numFmtId="0" fontId="6" fillId="0" borderId="41" xfId="0" applyFont="1" applyBorder="1"/>
    <xf numFmtId="0" fontId="6" fillId="0" borderId="32" xfId="0" applyFont="1" applyBorder="1"/>
    <xf numFmtId="0" fontId="25" fillId="10" borderId="32" xfId="0" applyFont="1" applyFill="1" applyBorder="1"/>
    <xf numFmtId="0" fontId="7" fillId="0" borderId="31" xfId="0" applyFont="1" applyBorder="1"/>
    <xf numFmtId="0" fontId="7" fillId="0" borderId="32" xfId="0" applyFont="1" applyBorder="1"/>
    <xf numFmtId="0" fontId="6" fillId="0" borderId="0" xfId="0" applyFont="1"/>
    <xf numFmtId="0" fontId="6" fillId="0" borderId="0" xfId="0" applyFont="1" applyAlignment="1">
      <alignment vertical="center"/>
    </xf>
    <xf numFmtId="0" fontId="23" fillId="0" borderId="0" xfId="0" applyFont="1" applyAlignment="1">
      <alignment vertical="center"/>
    </xf>
    <xf numFmtId="0" fontId="17" fillId="0" borderId="0" xfId="0" applyFont="1" applyAlignment="1">
      <alignment horizontal="right"/>
    </xf>
    <xf numFmtId="0" fontId="17" fillId="0" borderId="42" xfId="0" applyFont="1" applyBorder="1" applyAlignment="1">
      <alignment horizontal="center"/>
    </xf>
    <xf numFmtId="0" fontId="27" fillId="39" borderId="2" xfId="0" applyFont="1" applyFill="1" applyBorder="1" applyAlignment="1">
      <alignment horizontal="center" vertical="center"/>
    </xf>
    <xf numFmtId="0" fontId="27" fillId="39" borderId="7" xfId="0" applyFont="1" applyFill="1" applyBorder="1" applyAlignment="1">
      <alignment horizontal="center" vertical="center"/>
    </xf>
    <xf numFmtId="0" fontId="15" fillId="0" borderId="2" xfId="0" applyFont="1" applyBorder="1" applyAlignment="1">
      <alignment horizontal="center" vertical="center"/>
    </xf>
    <xf numFmtId="0" fontId="28" fillId="0" borderId="2" xfId="0" applyFont="1" applyBorder="1" applyAlignment="1">
      <alignment vertical="center"/>
    </xf>
    <xf numFmtId="0" fontId="15" fillId="0" borderId="2" xfId="0" applyFont="1" applyBorder="1" applyAlignment="1">
      <alignment vertical="center"/>
    </xf>
    <xf numFmtId="0" fontId="28" fillId="0" borderId="2" xfId="0" applyFont="1" applyBorder="1" applyAlignment="1">
      <alignment horizontal="left" vertical="center"/>
    </xf>
    <xf numFmtId="0" fontId="15" fillId="0" borderId="2" xfId="0" applyFont="1" applyBorder="1" applyAlignment="1">
      <alignment horizontal="left" vertical="center"/>
    </xf>
    <xf numFmtId="0" fontId="3" fillId="41" borderId="11" xfId="0" applyFont="1" applyFill="1" applyBorder="1" applyAlignment="1">
      <alignment horizontal="left" vertical="top" wrapText="1"/>
    </xf>
    <xf numFmtId="0" fontId="15" fillId="41" borderId="4" xfId="0" applyFont="1" applyFill="1" applyBorder="1" applyAlignment="1">
      <alignment horizontal="left"/>
    </xf>
    <xf numFmtId="0" fontId="4" fillId="41" borderId="11" xfId="0" applyFont="1" applyFill="1" applyBorder="1" applyAlignment="1">
      <alignment horizontal="left" vertical="center"/>
    </xf>
    <xf numFmtId="0" fontId="31" fillId="42" borderId="0" xfId="0" applyFont="1" applyFill="1" applyAlignment="1">
      <alignment horizontal="left" vertical="center"/>
    </xf>
    <xf numFmtId="0" fontId="4" fillId="41" borderId="0" xfId="0" applyFont="1" applyFill="1" applyAlignment="1">
      <alignment horizontal="left" vertical="center"/>
    </xf>
    <xf numFmtId="0" fontId="4" fillId="41" borderId="35" xfId="0" applyFont="1" applyFill="1" applyBorder="1" applyAlignment="1">
      <alignment horizontal="left" vertical="center"/>
    </xf>
    <xf numFmtId="0" fontId="15" fillId="41" borderId="13" xfId="0" applyFont="1" applyFill="1" applyBorder="1" applyAlignment="1">
      <alignment horizontal="left"/>
    </xf>
    <xf numFmtId="0" fontId="4" fillId="14" borderId="0" xfId="0" applyFont="1" applyFill="1" applyAlignment="1">
      <alignment horizontal="left" vertical="center"/>
    </xf>
    <xf numFmtId="0" fontId="15" fillId="14" borderId="0" xfId="0" applyFont="1" applyFill="1"/>
    <xf numFmtId="0" fontId="32" fillId="42" borderId="0" xfId="0" applyFont="1" applyFill="1" applyAlignment="1">
      <alignment horizontal="left" vertical="center"/>
    </xf>
    <xf numFmtId="0" fontId="4" fillId="41" borderId="37" xfId="0" applyFont="1" applyFill="1" applyBorder="1" applyAlignment="1">
      <alignment horizontal="left" vertical="center"/>
    </xf>
    <xf numFmtId="0" fontId="4" fillId="14" borderId="0" xfId="0" applyFont="1" applyFill="1" applyAlignment="1">
      <alignment vertical="center" wrapText="1"/>
    </xf>
    <xf numFmtId="0" fontId="30" fillId="41" borderId="11" xfId="0" applyFont="1" applyFill="1" applyBorder="1" applyAlignment="1">
      <alignment vertical="center" wrapText="1"/>
    </xf>
    <xf numFmtId="0" fontId="30" fillId="41" borderId="4" xfId="0" applyFont="1" applyFill="1" applyBorder="1" applyAlignment="1">
      <alignment vertical="center"/>
    </xf>
    <xf numFmtId="0" fontId="3" fillId="41" borderId="11" xfId="0" applyFont="1" applyFill="1" applyBorder="1" applyAlignment="1">
      <alignment vertical="top" wrapText="1"/>
    </xf>
    <xf numFmtId="0" fontId="15" fillId="41" borderId="4" xfId="0" applyFont="1" applyFill="1" applyBorder="1"/>
    <xf numFmtId="0" fontId="4" fillId="41" borderId="11" xfId="0" applyFont="1" applyFill="1" applyBorder="1" applyAlignment="1">
      <alignment vertical="center"/>
    </xf>
    <xf numFmtId="0" fontId="33" fillId="0" borderId="0" xfId="0" applyFont="1"/>
    <xf numFmtId="0" fontId="31" fillId="42" borderId="43" xfId="0" applyFont="1" applyFill="1" applyBorder="1" applyAlignment="1">
      <alignment horizontal="center" vertical="center"/>
    </xf>
    <xf numFmtId="0" fontId="15" fillId="41" borderId="13" xfId="0" applyFont="1" applyFill="1" applyBorder="1"/>
    <xf numFmtId="0" fontId="0" fillId="0" borderId="0" xfId="0" applyFill="1" applyBorder="1"/>
    <xf numFmtId="0" fontId="3" fillId="0" borderId="0" xfId="0" applyFont="1" applyFill="1" applyBorder="1" applyAlignment="1">
      <alignment vertical="center"/>
    </xf>
    <xf numFmtId="0" fontId="0" fillId="0" borderId="0" xfId="0" applyFill="1"/>
    <xf numFmtId="0" fontId="2" fillId="0" borderId="0" xfId="0" applyFont="1" applyFill="1" applyBorder="1" applyAlignment="1">
      <alignment horizontal="center" vertical="center"/>
    </xf>
    <xf numFmtId="0" fontId="9" fillId="0" borderId="0" xfId="0" applyFont="1" applyFill="1" applyBorder="1" applyAlignment="1">
      <alignment wrapText="1"/>
    </xf>
    <xf numFmtId="0" fontId="12" fillId="0" borderId="0" xfId="0" applyFont="1" applyFill="1" applyBorder="1"/>
    <xf numFmtId="0" fontId="14" fillId="0" borderId="0" xfId="0" applyFont="1" applyFill="1" applyBorder="1" applyAlignment="1">
      <alignment horizontal="left" vertical="center"/>
    </xf>
    <xf numFmtId="0" fontId="3" fillId="0" borderId="0" xfId="0" applyFont="1" applyFill="1" applyBorder="1" applyAlignment="1">
      <alignment horizontal="left" vertical="center"/>
    </xf>
    <xf numFmtId="0" fontId="9" fillId="0" borderId="0" xfId="0" applyFont="1" applyFill="1" applyBorder="1"/>
    <xf numFmtId="0" fontId="3" fillId="0" borderId="0" xfId="0" applyFont="1" applyFill="1" applyBorder="1"/>
    <xf numFmtId="0" fontId="3" fillId="0" borderId="0" xfId="0" applyFont="1" applyFill="1" applyBorder="1" applyAlignment="1">
      <alignment horizontal="left" vertical="center" wrapText="1"/>
    </xf>
    <xf numFmtId="0" fontId="3" fillId="0" borderId="0" xfId="0" applyFont="1" applyFill="1" applyBorder="1" applyAlignment="1">
      <alignment wrapText="1"/>
    </xf>
    <xf numFmtId="0" fontId="3" fillId="0" borderId="0" xfId="0" applyFont="1" applyFill="1" applyBorder="1" applyAlignment="1">
      <alignment horizontal="left" vertical="top" wrapText="1"/>
    </xf>
    <xf numFmtId="0" fontId="9" fillId="0" borderId="0" xfId="0" applyFont="1" applyFill="1" applyBorder="1" applyAlignment="1">
      <alignment vertical="top" wrapText="1"/>
    </xf>
    <xf numFmtId="0" fontId="0" fillId="0" borderId="48" xfId="0" applyBorder="1"/>
    <xf numFmtId="0" fontId="0" fillId="44" borderId="0" xfId="0" applyFill="1"/>
    <xf numFmtId="0" fontId="0" fillId="0" borderId="0" xfId="0"/>
    <xf numFmtId="0" fontId="0" fillId="0" borderId="0" xfId="0"/>
    <xf numFmtId="0" fontId="34" fillId="0" borderId="12" xfId="0" applyFont="1" applyBorder="1"/>
    <xf numFmtId="0" fontId="35" fillId="10" borderId="12" xfId="0" applyFont="1" applyFill="1" applyBorder="1" applyAlignment="1">
      <alignment horizontal="center" vertical="center"/>
    </xf>
    <xf numFmtId="0" fontId="35" fillId="10" borderId="44" xfId="0" applyFont="1" applyFill="1" applyBorder="1" applyAlignment="1">
      <alignment horizontal="center" vertical="center" wrapText="1"/>
    </xf>
    <xf numFmtId="0" fontId="35" fillId="10" borderId="16" xfId="0" applyFont="1" applyFill="1" applyBorder="1" applyAlignment="1">
      <alignment horizontal="center" vertical="center" wrapText="1"/>
    </xf>
    <xf numFmtId="0" fontId="37" fillId="17" borderId="0" xfId="0" applyFont="1" applyFill="1" applyAlignment="1">
      <alignment horizontal="center" vertical="center"/>
    </xf>
    <xf numFmtId="0" fontId="38" fillId="18" borderId="1" xfId="0" applyFont="1" applyFill="1" applyBorder="1" applyAlignment="1">
      <alignment horizontal="center" vertical="center"/>
    </xf>
    <xf numFmtId="0" fontId="39" fillId="18" borderId="1" xfId="0" applyFont="1" applyFill="1" applyBorder="1" applyAlignment="1">
      <alignment horizontal="center" vertical="center" wrapText="1"/>
    </xf>
    <xf numFmtId="0" fontId="39" fillId="18" borderId="1" xfId="0" applyFont="1" applyFill="1" applyBorder="1" applyAlignment="1">
      <alignment horizontal="center" vertical="center"/>
    </xf>
    <xf numFmtId="0" fontId="40" fillId="18" borderId="1" xfId="0" applyFont="1" applyFill="1" applyBorder="1" applyAlignment="1">
      <alignment horizontal="center" vertical="center" wrapText="1"/>
    </xf>
    <xf numFmtId="0" fontId="39" fillId="18" borderId="45" xfId="0" applyFont="1" applyFill="1" applyBorder="1" applyAlignment="1">
      <alignment horizontal="center" vertical="center"/>
    </xf>
    <xf numFmtId="0" fontId="41" fillId="18" borderId="12" xfId="0" applyFont="1" applyFill="1" applyBorder="1" applyAlignment="1">
      <alignment horizontal="center" vertical="center"/>
    </xf>
    <xf numFmtId="0" fontId="35" fillId="10" borderId="3" xfId="0" applyFont="1" applyFill="1" applyBorder="1" applyAlignment="1">
      <alignment horizontal="center" vertical="center" wrapText="1"/>
    </xf>
    <xf numFmtId="0" fontId="42" fillId="10" borderId="3" xfId="0" applyFont="1" applyFill="1" applyBorder="1" applyAlignment="1">
      <alignment horizontal="center" vertical="center" wrapText="1"/>
    </xf>
    <xf numFmtId="0" fontId="43" fillId="10" borderId="3" xfId="0" applyFont="1" applyFill="1" applyBorder="1" applyAlignment="1">
      <alignment horizontal="center" vertical="center" wrapText="1"/>
    </xf>
    <xf numFmtId="0" fontId="44" fillId="10" borderId="3" xfId="0" applyFont="1" applyFill="1" applyBorder="1" applyAlignment="1">
      <alignment horizontal="center" vertical="center" wrapText="1"/>
    </xf>
    <xf numFmtId="0" fontId="46" fillId="0" borderId="3" xfId="0" applyFont="1" applyBorder="1" applyAlignment="1">
      <alignment horizontal="center" vertical="center" wrapText="1"/>
    </xf>
    <xf numFmtId="0" fontId="47" fillId="10" borderId="5" xfId="0" applyFont="1" applyFill="1" applyBorder="1" applyAlignment="1">
      <alignment horizontal="center" vertical="center" wrapText="1"/>
    </xf>
    <xf numFmtId="0" fontId="35" fillId="10" borderId="8" xfId="0" applyFont="1" applyFill="1" applyBorder="1" applyAlignment="1">
      <alignment horizontal="center" vertical="center"/>
    </xf>
    <xf numFmtId="0" fontId="35" fillId="10" borderId="8" xfId="0" applyFont="1" applyFill="1" applyBorder="1" applyAlignment="1">
      <alignment horizontal="center" vertical="center" wrapText="1"/>
    </xf>
    <xf numFmtId="0" fontId="42" fillId="10" borderId="8" xfId="0" applyFont="1" applyFill="1" applyBorder="1" applyAlignment="1">
      <alignment horizontal="center" vertical="center" wrapText="1"/>
    </xf>
    <xf numFmtId="0" fontId="49" fillId="0" borderId="4" xfId="0" applyFont="1" applyBorder="1" applyAlignment="1">
      <alignment horizontal="center" vertical="center"/>
    </xf>
    <xf numFmtId="0" fontId="43" fillId="10" borderId="8" xfId="0" applyFont="1" applyFill="1" applyBorder="1" applyAlignment="1">
      <alignment horizontal="center" vertical="center" wrapText="1"/>
    </xf>
    <xf numFmtId="0" fontId="43" fillId="10" borderId="7" xfId="0" applyFont="1" applyFill="1" applyBorder="1" applyAlignment="1">
      <alignment horizontal="center" vertical="center" wrapText="1"/>
    </xf>
    <xf numFmtId="0" fontId="44" fillId="10" borderId="7" xfId="0" applyFont="1" applyFill="1" applyBorder="1" applyAlignment="1">
      <alignment horizontal="center" vertical="center" wrapText="1"/>
    </xf>
    <xf numFmtId="0" fontId="46" fillId="0" borderId="7" xfId="0" applyFont="1" applyBorder="1" applyAlignment="1">
      <alignment horizontal="center" vertical="center"/>
    </xf>
    <xf numFmtId="0" fontId="51" fillId="10" borderId="37" xfId="0" applyFont="1" applyFill="1" applyBorder="1" applyAlignment="1">
      <alignment horizontal="center" vertical="center"/>
    </xf>
    <xf numFmtId="0" fontId="42" fillId="10" borderId="11" xfId="0" applyFont="1" applyFill="1" applyBorder="1" applyAlignment="1">
      <alignment horizontal="center" vertical="center" wrapText="1"/>
    </xf>
    <xf numFmtId="0" fontId="43" fillId="10" borderId="15" xfId="0" applyFont="1" applyFill="1" applyBorder="1" applyAlignment="1">
      <alignment horizontal="center" vertical="center" wrapText="1"/>
    </xf>
    <xf numFmtId="0" fontId="43" fillId="10" borderId="0" xfId="0" applyFont="1" applyFill="1" applyBorder="1" applyAlignment="1">
      <alignment horizontal="center" vertical="center" wrapText="1"/>
    </xf>
    <xf numFmtId="0" fontId="43" fillId="10" borderId="12" xfId="0" applyFont="1" applyFill="1" applyBorder="1" applyAlignment="1">
      <alignment horizontal="center" vertical="center" wrapText="1"/>
    </xf>
    <xf numFmtId="0" fontId="43" fillId="10" borderId="13" xfId="0" applyFont="1" applyFill="1" applyBorder="1" applyAlignment="1">
      <alignment horizontal="center" vertical="center" wrapText="1"/>
    </xf>
    <xf numFmtId="0" fontId="35" fillId="10" borderId="3" xfId="0" applyFont="1" applyFill="1" applyBorder="1" applyAlignment="1">
      <alignment horizontal="center" vertical="center"/>
    </xf>
    <xf numFmtId="0" fontId="35" fillId="10" borderId="5" xfId="0" applyFont="1" applyFill="1" applyBorder="1" applyAlignment="1">
      <alignment horizontal="center" vertical="center" wrapText="1"/>
    </xf>
    <xf numFmtId="0" fontId="46" fillId="0" borderId="0" xfId="0" applyFont="1" applyAlignment="1">
      <alignment horizontal="center" vertical="center" wrapText="1"/>
    </xf>
    <xf numFmtId="0" fontId="46" fillId="0" borderId="12" xfId="0" applyFont="1" applyBorder="1" applyAlignment="1">
      <alignment horizontal="center" vertical="center" wrapText="1"/>
    </xf>
    <xf numFmtId="0" fontId="43" fillId="10" borderId="4" xfId="0" applyFont="1" applyFill="1" applyBorder="1" applyAlignment="1">
      <alignment horizontal="center" vertical="center" wrapText="1"/>
    </xf>
    <xf numFmtId="0" fontId="43" fillId="10" borderId="2" xfId="0" applyFont="1" applyFill="1" applyBorder="1" applyAlignment="1">
      <alignment horizontal="center" vertical="center" wrapText="1"/>
    </xf>
    <xf numFmtId="0" fontId="54" fillId="10" borderId="2" xfId="0" applyFont="1" applyFill="1" applyBorder="1" applyAlignment="1">
      <alignment horizontal="center" vertical="center" wrapText="1"/>
    </xf>
    <xf numFmtId="0" fontId="55" fillId="10" borderId="2" xfId="0" applyFont="1" applyFill="1" applyBorder="1" applyAlignment="1">
      <alignment horizontal="center" vertical="center" wrapText="1"/>
    </xf>
    <xf numFmtId="0" fontId="46" fillId="0" borderId="2" xfId="0" applyFont="1" applyBorder="1" applyAlignment="1">
      <alignment horizontal="center" vertical="center"/>
    </xf>
    <xf numFmtId="0" fontId="56" fillId="10" borderId="25" xfId="0" applyFont="1" applyFill="1" applyBorder="1" applyAlignment="1">
      <alignment horizontal="center" vertical="center"/>
    </xf>
    <xf numFmtId="0" fontId="56" fillId="10" borderId="12" xfId="0" applyFont="1" applyFill="1" applyBorder="1" applyAlignment="1">
      <alignment horizontal="center" vertical="center"/>
    </xf>
    <xf numFmtId="0" fontId="35" fillId="10" borderId="9" xfId="0" applyFont="1" applyFill="1" applyBorder="1" applyAlignment="1">
      <alignment horizontal="center" vertical="center"/>
    </xf>
    <xf numFmtId="0" fontId="35" fillId="10" borderId="14" xfId="0" applyFont="1" applyFill="1" applyBorder="1" applyAlignment="1">
      <alignment horizontal="center" vertical="center" wrapText="1"/>
    </xf>
    <xf numFmtId="0" fontId="43" fillId="10" borderId="6" xfId="0" applyFont="1" applyFill="1" applyBorder="1" applyAlignment="1">
      <alignment horizontal="center" vertical="center" wrapText="1"/>
    </xf>
    <xf numFmtId="0" fontId="35" fillId="10" borderId="11" xfId="0" applyFont="1" applyFill="1" applyBorder="1" applyAlignment="1">
      <alignment horizontal="center" vertical="center" wrapText="1"/>
    </xf>
    <xf numFmtId="0" fontId="57" fillId="10" borderId="2" xfId="0" applyFont="1" applyFill="1" applyBorder="1" applyAlignment="1">
      <alignment horizontal="center" vertical="center" wrapText="1"/>
    </xf>
    <xf numFmtId="0" fontId="43" fillId="10" borderId="19" xfId="0" applyFont="1" applyFill="1" applyBorder="1" applyAlignment="1">
      <alignment horizontal="center" vertical="center" wrapText="1"/>
    </xf>
    <xf numFmtId="0" fontId="58" fillId="10" borderId="2" xfId="1" applyFont="1" applyFill="1" applyBorder="1" applyAlignment="1">
      <alignment horizontal="center" vertical="center" wrapText="1"/>
    </xf>
    <xf numFmtId="0" fontId="43" fillId="0" borderId="2" xfId="0" applyFont="1" applyBorder="1" applyAlignment="1">
      <alignment horizontal="center" vertical="center" wrapText="1"/>
    </xf>
    <xf numFmtId="0" fontId="54" fillId="0" borderId="2" xfId="0" applyFont="1" applyBorder="1" applyAlignment="1">
      <alignment horizontal="center" vertical="center" wrapText="1"/>
    </xf>
    <xf numFmtId="0" fontId="59" fillId="0" borderId="2" xfId="0" applyFont="1" applyBorder="1" applyAlignment="1">
      <alignment horizontal="center" vertical="center" wrapText="1"/>
    </xf>
    <xf numFmtId="0" fontId="46" fillId="12" borderId="2" xfId="0" applyFont="1" applyFill="1" applyBorder="1" applyAlignment="1">
      <alignment horizontal="center" vertical="center"/>
    </xf>
    <xf numFmtId="0" fontId="35" fillId="0" borderId="25" xfId="0" applyFont="1" applyBorder="1" applyAlignment="1">
      <alignment horizontal="center" vertical="center" wrapText="1"/>
    </xf>
    <xf numFmtId="0" fontId="35" fillId="0" borderId="12" xfId="0" applyFont="1" applyBorder="1" applyAlignment="1">
      <alignment horizontal="center" vertical="center"/>
    </xf>
    <xf numFmtId="0" fontId="49" fillId="0" borderId="25" xfId="0" applyFont="1" applyBorder="1" applyAlignment="1">
      <alignment horizontal="center" vertical="center" wrapText="1"/>
    </xf>
    <xf numFmtId="0" fontId="57" fillId="0" borderId="2" xfId="0" applyFont="1" applyBorder="1" applyAlignment="1">
      <alignment horizontal="center" vertical="center" wrapText="1"/>
    </xf>
    <xf numFmtId="0" fontId="43" fillId="0" borderId="6" xfId="0" applyFont="1" applyBorder="1" applyAlignment="1">
      <alignment horizontal="center" vertical="center" wrapText="1"/>
    </xf>
    <xf numFmtId="0" fontId="46" fillId="13" borderId="2" xfId="0" applyFont="1" applyFill="1" applyBorder="1" applyAlignment="1">
      <alignment horizontal="center" vertical="center"/>
    </xf>
    <xf numFmtId="0" fontId="43" fillId="0" borderId="19" xfId="0" applyFont="1" applyBorder="1" applyAlignment="1">
      <alignment horizontal="center" vertical="center" wrapText="1"/>
    </xf>
    <xf numFmtId="0" fontId="43" fillId="0" borderId="3" xfId="0" applyFont="1" applyBorder="1" applyAlignment="1">
      <alignment horizontal="center" vertical="center" wrapText="1"/>
    </xf>
    <xf numFmtId="0" fontId="57" fillId="0" borderId="3" xfId="0" applyFont="1" applyBorder="1" applyAlignment="1">
      <alignment horizontal="center" vertical="center" wrapText="1"/>
    </xf>
    <xf numFmtId="0" fontId="46" fillId="13" borderId="3" xfId="0" applyFont="1" applyFill="1" applyBorder="1" applyAlignment="1">
      <alignment horizontal="center" vertical="center"/>
    </xf>
    <xf numFmtId="0" fontId="49" fillId="0" borderId="5" xfId="0" applyFont="1" applyBorder="1" applyAlignment="1">
      <alignment horizontal="center" vertical="center" wrapText="1"/>
    </xf>
    <xf numFmtId="0" fontId="59" fillId="0" borderId="3" xfId="0" applyFont="1" applyBorder="1" applyAlignment="1">
      <alignment horizontal="center" vertical="center" wrapText="1"/>
    </xf>
    <xf numFmtId="0" fontId="35" fillId="10" borderId="2" xfId="0" applyFont="1" applyFill="1" applyBorder="1" applyAlignment="1">
      <alignment horizontal="center" vertical="center"/>
    </xf>
    <xf numFmtId="0" fontId="35" fillId="10"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57" fillId="14" borderId="2" xfId="0" applyFont="1" applyFill="1" applyBorder="1" applyAlignment="1">
      <alignment horizontal="center" vertical="center" wrapText="1"/>
    </xf>
    <xf numFmtId="0" fontId="43" fillId="0" borderId="7" xfId="0" applyFont="1" applyBorder="1" applyAlignment="1">
      <alignment horizontal="center" vertical="center" wrapText="1"/>
    </xf>
    <xf numFmtId="0" fontId="57" fillId="0" borderId="7" xfId="0" applyFont="1" applyBorder="1" applyAlignment="1">
      <alignment horizontal="center" vertical="center" wrapText="1"/>
    </xf>
    <xf numFmtId="0" fontId="59" fillId="0" borderId="7" xfId="0" applyFont="1" applyBorder="1" applyAlignment="1">
      <alignment horizontal="center" vertical="center" wrapText="1"/>
    </xf>
    <xf numFmtId="0" fontId="46" fillId="12" borderId="7" xfId="0" applyFont="1" applyFill="1" applyBorder="1" applyAlignment="1">
      <alignment horizontal="center" vertical="center"/>
    </xf>
    <xf numFmtId="0" fontId="49" fillId="0" borderId="37" xfId="0" applyFont="1" applyBorder="1" applyAlignment="1">
      <alignment horizontal="center" vertical="center" wrapText="1"/>
    </xf>
    <xf numFmtId="0" fontId="35" fillId="20" borderId="3" xfId="0" applyFont="1" applyFill="1" applyBorder="1" applyAlignment="1">
      <alignment horizontal="center" vertical="center"/>
    </xf>
    <xf numFmtId="0" fontId="35" fillId="20" borderId="3" xfId="0" applyFont="1" applyFill="1" applyBorder="1" applyAlignment="1">
      <alignment horizontal="center" vertical="center" wrapText="1"/>
    </xf>
    <xf numFmtId="0" fontId="43" fillId="20" borderId="7" xfId="0" applyFont="1" applyFill="1" applyBorder="1" applyAlignment="1">
      <alignment horizontal="center" vertical="center" wrapText="1"/>
    </xf>
    <xf numFmtId="0" fontId="43" fillId="20" borderId="37" xfId="0" quotePrefix="1" applyFont="1" applyFill="1" applyBorder="1" applyAlignment="1">
      <alignment horizontal="center" vertical="center" wrapText="1"/>
    </xf>
    <xf numFmtId="0" fontId="43" fillId="20" borderId="12" xfId="0" applyFont="1" applyFill="1" applyBorder="1" applyAlignment="1">
      <alignment horizontal="center" vertical="center" wrapText="1"/>
    </xf>
    <xf numFmtId="0" fontId="43" fillId="20" borderId="6" xfId="0" applyFont="1" applyFill="1" applyBorder="1" applyAlignment="1">
      <alignment horizontal="center" vertical="center" wrapText="1"/>
    </xf>
    <xf numFmtId="0" fontId="57" fillId="20" borderId="2" xfId="0" applyFont="1" applyFill="1" applyBorder="1" applyAlignment="1">
      <alignment horizontal="center" vertical="center" wrapText="1"/>
    </xf>
    <xf numFmtId="0" fontId="59" fillId="20" borderId="2" xfId="0" applyFont="1" applyFill="1" applyBorder="1" applyAlignment="1">
      <alignment horizontal="center" vertical="center" wrapText="1"/>
    </xf>
    <xf numFmtId="0" fontId="46" fillId="11" borderId="2" xfId="0" applyFont="1" applyFill="1" applyBorder="1" applyAlignment="1">
      <alignment horizontal="center" vertical="center"/>
    </xf>
    <xf numFmtId="0" fontId="49" fillId="20" borderId="25" xfId="0" applyFont="1" applyFill="1" applyBorder="1" applyAlignment="1">
      <alignment horizontal="center" vertical="center" wrapText="1"/>
    </xf>
    <xf numFmtId="0" fontId="35" fillId="20" borderId="12" xfId="0" applyFont="1" applyFill="1" applyBorder="1" applyAlignment="1">
      <alignment horizontal="center" vertical="center"/>
    </xf>
    <xf numFmtId="0" fontId="36" fillId="10" borderId="8" xfId="0" applyFont="1" applyFill="1" applyBorder="1" applyAlignment="1">
      <alignment horizontal="center" vertical="center" wrapText="1"/>
    </xf>
    <xf numFmtId="0" fontId="57" fillId="0" borderId="2" xfId="0" applyFont="1" applyBorder="1" applyAlignment="1">
      <alignment horizontal="center" vertical="center"/>
    </xf>
    <xf numFmtId="0" fontId="36" fillId="10" borderId="12" xfId="0" applyFont="1" applyFill="1" applyBorder="1" applyAlignment="1">
      <alignment horizontal="center" vertical="center" wrapText="1"/>
    </xf>
    <xf numFmtId="0" fontId="46" fillId="10" borderId="2" xfId="0" applyFont="1" applyFill="1" applyBorder="1" applyAlignment="1">
      <alignment horizontal="center" vertical="center" wrapText="1"/>
    </xf>
    <xf numFmtId="0" fontId="49" fillId="0" borderId="25" xfId="0" applyFont="1" applyBorder="1" applyAlignment="1">
      <alignment horizontal="center" vertical="center"/>
    </xf>
    <xf numFmtId="0" fontId="35" fillId="15" borderId="12" xfId="0" applyFont="1" applyFill="1" applyBorder="1" applyAlignment="1">
      <alignment horizontal="center" vertical="center"/>
    </xf>
    <xf numFmtId="0" fontId="60" fillId="0" borderId="2" xfId="0" applyFont="1" applyBorder="1" applyAlignment="1">
      <alignment horizontal="center" vertical="center" wrapText="1"/>
    </xf>
    <xf numFmtId="0" fontId="35" fillId="45" borderId="3" xfId="0" applyFont="1" applyFill="1" applyBorder="1" applyAlignment="1">
      <alignment horizontal="center" vertical="center"/>
    </xf>
    <xf numFmtId="0" fontId="35" fillId="46" borderId="3" xfId="0" applyFont="1" applyFill="1" applyBorder="1" applyAlignment="1">
      <alignment horizontal="center" vertical="center"/>
    </xf>
    <xf numFmtId="0" fontId="35" fillId="19" borderId="3" xfId="0" applyFont="1" applyFill="1" applyBorder="1" applyAlignment="1">
      <alignment horizontal="center" vertical="center"/>
    </xf>
    <xf numFmtId="0" fontId="35" fillId="19" borderId="3" xfId="0" applyFont="1" applyFill="1" applyBorder="1" applyAlignment="1">
      <alignment horizontal="center" vertical="center" wrapText="1"/>
    </xf>
    <xf numFmtId="0" fontId="43" fillId="19" borderId="2" xfId="0" applyFont="1" applyFill="1" applyBorder="1" applyAlignment="1">
      <alignment horizontal="center" vertical="center" wrapText="1"/>
    </xf>
    <xf numFmtId="0" fontId="54" fillId="19" borderId="2" xfId="0" applyFont="1" applyFill="1" applyBorder="1" applyAlignment="1">
      <alignment horizontal="center" vertical="center" wrapText="1"/>
    </xf>
    <xf numFmtId="0" fontId="46" fillId="19" borderId="2" xfId="0" applyFont="1" applyFill="1" applyBorder="1" applyAlignment="1">
      <alignment horizontal="center" vertical="center"/>
    </xf>
    <xf numFmtId="0" fontId="49" fillId="19" borderId="25" xfId="0" applyFont="1" applyFill="1" applyBorder="1" applyAlignment="1">
      <alignment horizontal="center" vertical="center"/>
    </xf>
    <xf numFmtId="0" fontId="35" fillId="19" borderId="12" xfId="0" applyFont="1" applyFill="1" applyBorder="1" applyAlignment="1">
      <alignment horizontal="center" vertical="center"/>
    </xf>
    <xf numFmtId="0" fontId="46" fillId="20" borderId="2" xfId="0" applyFont="1" applyFill="1" applyBorder="1" applyAlignment="1">
      <alignment horizontal="center" vertical="center" wrapText="1"/>
    </xf>
    <xf numFmtId="0" fontId="61" fillId="20" borderId="2" xfId="0" applyFont="1" applyFill="1" applyBorder="1" applyAlignment="1">
      <alignment horizontal="center" vertical="center" wrapText="1"/>
    </xf>
    <xf numFmtId="0" fontId="54" fillId="20" borderId="2" xfId="0" applyFont="1" applyFill="1" applyBorder="1" applyAlignment="1">
      <alignment horizontal="center" vertical="center" wrapText="1"/>
    </xf>
    <xf numFmtId="0" fontId="62" fillId="20" borderId="2" xfId="0" applyFont="1" applyFill="1" applyBorder="1" applyAlignment="1">
      <alignment horizontal="center" vertical="center" wrapText="1"/>
    </xf>
    <xf numFmtId="0" fontId="61" fillId="47" borderId="2" xfId="0" applyFont="1" applyFill="1" applyBorder="1" applyAlignment="1">
      <alignment horizontal="center" vertical="center" wrapText="1"/>
    </xf>
    <xf numFmtId="0" fontId="63" fillId="20" borderId="25" xfId="0" applyFont="1" applyFill="1" applyBorder="1" applyAlignment="1">
      <alignment horizontal="center" vertical="center"/>
    </xf>
    <xf numFmtId="0" fontId="35" fillId="0" borderId="2" xfId="0" applyFont="1" applyBorder="1" applyAlignment="1">
      <alignment horizontal="center" vertical="center" wrapText="1"/>
    </xf>
    <xf numFmtId="0" fontId="64"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35" fillId="0" borderId="12" xfId="0" applyFont="1" applyBorder="1" applyAlignment="1">
      <alignment horizontal="center" vertical="center" wrapText="1"/>
    </xf>
    <xf numFmtId="0" fontId="65" fillId="0" borderId="2" xfId="0" applyFont="1" applyBorder="1" applyAlignment="1">
      <alignment horizontal="center" vertical="center" wrapText="1"/>
    </xf>
    <xf numFmtId="0" fontId="35" fillId="20" borderId="2" xfId="0" applyFont="1" applyFill="1" applyBorder="1" applyAlignment="1">
      <alignment horizontal="center" vertical="center" wrapText="1"/>
    </xf>
    <xf numFmtId="0" fontId="35" fillId="0" borderId="3" xfId="0" applyFont="1" applyBorder="1" applyAlignment="1">
      <alignment horizontal="center" vertical="center" wrapText="1"/>
    </xf>
    <xf numFmtId="0" fontId="64" fillId="0" borderId="3" xfId="0" applyFont="1" applyBorder="1" applyAlignment="1">
      <alignment horizontal="center" vertical="center" wrapText="1"/>
    </xf>
    <xf numFmtId="0" fontId="49" fillId="0" borderId="3" xfId="0" applyFont="1" applyBorder="1" applyAlignment="1">
      <alignment horizontal="center" vertical="center" wrapText="1"/>
    </xf>
    <xf numFmtId="0" fontId="35" fillId="10" borderId="20" xfId="0" applyFont="1" applyFill="1" applyBorder="1" applyAlignment="1">
      <alignment horizontal="center" vertical="center"/>
    </xf>
    <xf numFmtId="0" fontId="35" fillId="10" borderId="21" xfId="0" applyFont="1" applyFill="1" applyBorder="1" applyAlignment="1">
      <alignment horizontal="center" vertical="center" wrapText="1"/>
    </xf>
    <xf numFmtId="0" fontId="35" fillId="0" borderId="16" xfId="0" applyFont="1" applyBorder="1" applyAlignment="1">
      <alignment horizontal="center" vertical="center" wrapText="1"/>
    </xf>
    <xf numFmtId="0" fontId="35" fillId="0" borderId="51" xfId="0" applyFont="1" applyBorder="1" applyAlignment="1">
      <alignment horizontal="center" vertical="center" wrapText="1"/>
    </xf>
    <xf numFmtId="0" fontId="35" fillId="0" borderId="21" xfId="0" applyFont="1" applyBorder="1" applyAlignment="1">
      <alignment horizontal="center" vertical="center" wrapText="1"/>
    </xf>
    <xf numFmtId="0" fontId="64" fillId="0" borderId="21" xfId="0" applyFont="1" applyBorder="1" applyAlignment="1">
      <alignment horizontal="center" vertical="center" wrapText="1"/>
    </xf>
    <xf numFmtId="0" fontId="35" fillId="0" borderId="27" xfId="0" applyFont="1" applyBorder="1" applyAlignment="1">
      <alignment horizontal="center" vertical="center" wrapText="1"/>
    </xf>
    <xf numFmtId="0" fontId="49" fillId="0" borderId="26" xfId="0" applyFont="1" applyBorder="1" applyAlignment="1">
      <alignment horizontal="center" vertical="center" wrapText="1"/>
    </xf>
    <xf numFmtId="0" fontId="49" fillId="0" borderId="46"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50" xfId="0" applyFont="1" applyBorder="1" applyAlignment="1">
      <alignment horizontal="center" vertical="center" wrapText="1"/>
    </xf>
    <xf numFmtId="0" fontId="64" fillId="0" borderId="16" xfId="0" applyFont="1" applyBorder="1" applyAlignment="1">
      <alignment horizontal="center" vertical="center" wrapText="1"/>
    </xf>
    <xf numFmtId="0" fontId="49" fillId="0" borderId="28" xfId="0" applyFont="1" applyBorder="1" applyAlignment="1">
      <alignment horizontal="center" vertical="center" wrapText="1"/>
    </xf>
    <xf numFmtId="0" fontId="49" fillId="0" borderId="47" xfId="0" applyFont="1" applyBorder="1" applyAlignment="1">
      <alignment horizontal="center" vertical="center" wrapText="1"/>
    </xf>
    <xf numFmtId="0" fontId="35" fillId="0" borderId="0" xfId="0" applyFont="1" applyBorder="1" applyAlignment="1">
      <alignment horizontal="center" vertical="center" wrapText="1"/>
    </xf>
    <xf numFmtId="0" fontId="35" fillId="0" borderId="49" xfId="0" applyFont="1" applyBorder="1" applyAlignment="1">
      <alignment horizontal="center" vertical="center" wrapText="1"/>
    </xf>
    <xf numFmtId="0" fontId="49" fillId="0" borderId="12" xfId="0" applyFont="1" applyBorder="1" applyAlignment="1">
      <alignment horizontal="center" vertical="center" wrapText="1"/>
    </xf>
    <xf numFmtId="0" fontId="49" fillId="0" borderId="17" xfId="0" applyFont="1" applyBorder="1" applyAlignment="1">
      <alignment horizontal="center" vertical="center" wrapText="1"/>
    </xf>
    <xf numFmtId="0" fontId="49" fillId="0" borderId="22"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22"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48" xfId="0" applyFont="1" applyBorder="1" applyAlignment="1">
      <alignment horizontal="center" vertical="center" wrapText="1"/>
    </xf>
    <xf numFmtId="0" fontId="35" fillId="0" borderId="23" xfId="0" applyFont="1" applyBorder="1" applyAlignment="1">
      <alignment horizontal="center" vertical="center" wrapText="1"/>
    </xf>
    <xf numFmtId="0" fontId="35" fillId="0" borderId="52" xfId="0" applyFont="1" applyBorder="1" applyAlignment="1">
      <alignment horizontal="center" vertical="center" wrapText="1"/>
    </xf>
    <xf numFmtId="0" fontId="45" fillId="10" borderId="3" xfId="0" applyFont="1" applyFill="1" applyBorder="1" applyAlignment="1">
      <alignment horizontal="center" vertical="center" wrapText="1"/>
    </xf>
    <xf numFmtId="0" fontId="48" fillId="10" borderId="12" xfId="0" applyFont="1" applyFill="1" applyBorder="1" applyAlignment="1">
      <alignment horizontal="center" vertical="center" wrapText="1"/>
    </xf>
    <xf numFmtId="0" fontId="50" fillId="10" borderId="7" xfId="0" applyFont="1" applyFill="1" applyBorder="1" applyAlignment="1">
      <alignment horizontal="center" vertical="center" wrapText="1"/>
    </xf>
    <xf numFmtId="0" fontId="52" fillId="0" borderId="12" xfId="0" applyFont="1" applyBorder="1" applyAlignment="1">
      <alignment horizontal="center" vertical="center"/>
    </xf>
    <xf numFmtId="0" fontId="53" fillId="10" borderId="12" xfId="0" applyFont="1" applyFill="1" applyBorder="1" applyAlignment="1">
      <alignment horizontal="center" vertical="center"/>
    </xf>
    <xf numFmtId="0" fontId="52" fillId="0" borderId="0" xfId="0" applyFont="1" applyAlignment="1">
      <alignment horizontal="center" vertical="center"/>
    </xf>
    <xf numFmtId="0" fontId="64" fillId="20" borderId="2" xfId="0" applyFont="1" applyFill="1" applyBorder="1" applyAlignment="1">
      <alignment horizontal="center" vertical="center" wrapText="1"/>
    </xf>
    <xf numFmtId="0" fontId="49" fillId="20" borderId="2" xfId="0" applyFont="1" applyFill="1" applyBorder="1" applyAlignment="1">
      <alignment horizontal="center" vertical="center" wrapText="1"/>
    </xf>
    <xf numFmtId="0" fontId="35" fillId="20" borderId="12" xfId="0" applyFont="1" applyFill="1" applyBorder="1" applyAlignment="1">
      <alignment horizontal="center" vertical="center" wrapText="1"/>
    </xf>
    <xf numFmtId="0" fontId="61" fillId="0" borderId="0" xfId="0" applyFont="1" applyAlignment="1">
      <alignment horizontal="center" vertical="center"/>
    </xf>
    <xf numFmtId="0" fontId="36" fillId="0" borderId="12" xfId="0" applyFont="1" applyBorder="1" applyAlignment="1">
      <alignment horizontal="center" vertical="center" wrapText="1"/>
    </xf>
    <xf numFmtId="0" fontId="35" fillId="10" borderId="12" xfId="0" applyFont="1" applyFill="1" applyBorder="1" applyAlignment="1">
      <alignment horizontal="center" vertical="center" wrapText="1"/>
    </xf>
    <xf numFmtId="0" fontId="66" fillId="48" borderId="0" xfId="0" applyFont="1" applyFill="1" applyAlignment="1">
      <alignment horizontal="center" vertical="center"/>
    </xf>
    <xf numFmtId="0" fontId="66" fillId="48" borderId="53" xfId="0" applyFont="1" applyFill="1" applyBorder="1" applyAlignment="1">
      <alignment horizontal="center"/>
    </xf>
    <xf numFmtId="0" fontId="66" fillId="49" borderId="54" xfId="0" applyFont="1" applyFill="1" applyBorder="1" applyAlignment="1">
      <alignment horizontal="center" vertical="center"/>
    </xf>
    <xf numFmtId="0" fontId="13" fillId="23" borderId="34" xfId="0" applyFont="1" applyFill="1" applyBorder="1" applyAlignment="1">
      <alignment horizontal="center"/>
    </xf>
    <xf numFmtId="0" fontId="13" fillId="23" borderId="36" xfId="0" applyFont="1" applyFill="1" applyBorder="1" applyAlignment="1">
      <alignment horizontal="center"/>
    </xf>
    <xf numFmtId="0" fontId="0" fillId="0" borderId="55" xfId="0" applyBorder="1"/>
    <xf numFmtId="0" fontId="17" fillId="0" borderId="56" xfId="0" applyFont="1" applyBorder="1" applyAlignment="1">
      <alignment horizontal="center" vertical="top"/>
    </xf>
    <xf numFmtId="0" fontId="19" fillId="0" borderId="57" xfId="0" applyFont="1" applyBorder="1"/>
    <xf numFmtId="0" fontId="17" fillId="0" borderId="58" xfId="0" applyFont="1" applyBorder="1" applyAlignment="1">
      <alignment horizontal="center" vertical="top"/>
    </xf>
    <xf numFmtId="0" fontId="19" fillId="0" borderId="59" xfId="0" applyFont="1" applyBorder="1"/>
    <xf numFmtId="0" fontId="0" fillId="0" borderId="58"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8" fillId="0" borderId="60" xfId="0" applyFont="1" applyBorder="1" applyAlignment="1">
      <alignment horizontal="center" vertical="top"/>
    </xf>
    <xf numFmtId="0" fontId="8" fillId="0" borderId="61" xfId="0" applyFont="1" applyBorder="1" applyAlignment="1">
      <alignment horizontal="center" vertical="top"/>
    </xf>
    <xf numFmtId="0" fontId="36" fillId="0" borderId="40" xfId="0" applyFont="1" applyBorder="1" applyAlignment="1">
      <alignment horizontal="center" vertical="center" wrapText="1"/>
    </xf>
    <xf numFmtId="0" fontId="36" fillId="0" borderId="0" xfId="0" applyFont="1" applyBorder="1" applyAlignment="1">
      <alignment horizontal="center" vertical="center" wrapText="1"/>
    </xf>
    <xf numFmtId="0" fontId="36" fillId="0" borderId="48" xfId="0" applyFont="1" applyBorder="1" applyAlignment="1">
      <alignment horizontal="center" vertical="center" wrapText="1"/>
    </xf>
    <xf numFmtId="0" fontId="36" fillId="10" borderId="3" xfId="0" applyFont="1" applyFill="1" applyBorder="1" applyAlignment="1">
      <alignment horizontal="center" vertical="center" wrapText="1"/>
    </xf>
    <xf numFmtId="0" fontId="36" fillId="10" borderId="8" xfId="0" applyFont="1" applyFill="1" applyBorder="1" applyAlignment="1">
      <alignment horizontal="center" vertical="center" wrapText="1"/>
    </xf>
    <xf numFmtId="0" fontId="36" fillId="0" borderId="8" xfId="0" applyFont="1" applyBorder="1" applyAlignment="1">
      <alignment horizontal="center" vertical="center"/>
    </xf>
    <xf numFmtId="0" fontId="36" fillId="0" borderId="7" xfId="0" applyFont="1" applyBorder="1" applyAlignment="1">
      <alignment horizontal="center" vertical="center"/>
    </xf>
    <xf numFmtId="0" fontId="0" fillId="8" borderId="0" xfId="0" applyFill="1" applyAlignment="1">
      <alignment horizontal="center"/>
    </xf>
    <xf numFmtId="0" fontId="52" fillId="0" borderId="16" xfId="0" applyFont="1" applyBorder="1" applyAlignment="1">
      <alignment horizontal="center" vertical="center"/>
    </xf>
    <xf numFmtId="0" fontId="52" fillId="0" borderId="17" xfId="0" applyFont="1" applyBorder="1" applyAlignment="1">
      <alignment horizontal="center" vertical="center"/>
    </xf>
    <xf numFmtId="0" fontId="49" fillId="0" borderId="16" xfId="0" applyFont="1" applyBorder="1" applyAlignment="1">
      <alignment horizontal="center" vertical="center"/>
    </xf>
    <xf numFmtId="0" fontId="49" fillId="0" borderId="18" xfId="0" applyFont="1" applyBorder="1" applyAlignment="1">
      <alignment horizontal="center" vertical="center"/>
    </xf>
    <xf numFmtId="0" fontId="35" fillId="0" borderId="16" xfId="0" applyFont="1" applyBorder="1" applyAlignment="1">
      <alignment horizontal="center" vertical="center"/>
    </xf>
    <xf numFmtId="0" fontId="35" fillId="0" borderId="17" xfId="0" applyFont="1" applyBorder="1" applyAlignment="1">
      <alignment horizontal="center" vertical="center"/>
    </xf>
    <xf numFmtId="0" fontId="35" fillId="0" borderId="18" xfId="0" applyFont="1" applyBorder="1" applyAlignment="1">
      <alignment horizontal="center" vertical="center"/>
    </xf>
    <xf numFmtId="0" fontId="36" fillId="0" borderId="16"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8" xfId="0" applyFont="1" applyBorder="1" applyAlignment="1">
      <alignment horizontal="center" vertical="center" wrapText="1"/>
    </xf>
    <xf numFmtId="0" fontId="35" fillId="43" borderId="14" xfId="0" applyFont="1" applyFill="1" applyBorder="1" applyAlignment="1">
      <alignment horizontal="center" vertical="center"/>
    </xf>
    <xf numFmtId="0" fontId="35" fillId="43" borderId="24" xfId="0" applyFont="1" applyFill="1" applyBorder="1" applyAlignment="1">
      <alignment horizontal="center" vertical="center"/>
    </xf>
    <xf numFmtId="0" fontId="35" fillId="43" borderId="15" xfId="0" applyFont="1" applyFill="1" applyBorder="1" applyAlignment="1">
      <alignment horizontal="center" vertical="center"/>
    </xf>
    <xf numFmtId="0" fontId="36" fillId="0" borderId="3" xfId="0" applyFont="1" applyBorder="1" applyAlignment="1">
      <alignment horizontal="center" vertical="center"/>
    </xf>
    <xf numFmtId="0" fontId="16" fillId="35" borderId="25" xfId="0" applyFont="1" applyFill="1" applyBorder="1"/>
    <xf numFmtId="0" fontId="19" fillId="0" borderId="33" xfId="0" applyFont="1" applyBorder="1"/>
    <xf numFmtId="0" fontId="19" fillId="0" borderId="6" xfId="0" applyFont="1" applyBorder="1"/>
    <xf numFmtId="0" fontId="20" fillId="22" borderId="25" xfId="0" applyFont="1" applyFill="1" applyBorder="1" applyAlignment="1">
      <alignment horizontal="center"/>
    </xf>
    <xf numFmtId="0" fontId="13" fillId="24" borderId="35" xfId="0" applyFont="1" applyFill="1" applyBorder="1" applyAlignment="1">
      <alignment horizontal="left" vertical="center" wrapText="1"/>
    </xf>
    <xf numFmtId="0" fontId="19" fillId="0" borderId="35" xfId="0" applyFont="1" applyBorder="1"/>
    <xf numFmtId="0" fontId="19" fillId="0" borderId="13" xfId="0" applyFont="1" applyBorder="1"/>
    <xf numFmtId="0" fontId="21" fillId="25" borderId="11" xfId="0" applyFont="1" applyFill="1" applyBorder="1" applyAlignment="1">
      <alignment horizontal="center" vertical="center" wrapText="1"/>
    </xf>
    <xf numFmtId="0" fontId="19" fillId="0" borderId="0" xfId="0" applyFont="1"/>
    <xf numFmtId="0" fontId="19" fillId="0" borderId="4" xfId="0" applyFont="1" applyBorder="1"/>
    <xf numFmtId="0" fontId="19" fillId="0" borderId="37" xfId="0" applyFont="1" applyBorder="1"/>
    <xf numFmtId="0" fontId="13" fillId="34" borderId="25" xfId="0" applyFont="1" applyFill="1" applyBorder="1" applyAlignment="1">
      <alignment horizontal="center" wrapText="1"/>
    </xf>
    <xf numFmtId="0" fontId="13" fillId="34" borderId="25" xfId="0" applyFont="1" applyFill="1" applyBorder="1" applyAlignment="1">
      <alignment horizontal="center" vertical="top" wrapText="1"/>
    </xf>
    <xf numFmtId="0" fontId="7" fillId="36" borderId="3" xfId="0" applyFont="1" applyFill="1" applyBorder="1" applyAlignment="1">
      <alignment horizontal="center"/>
    </xf>
    <xf numFmtId="0" fontId="19" fillId="0" borderId="8" xfId="0" applyFont="1" applyBorder="1"/>
    <xf numFmtId="0" fontId="19" fillId="0" borderId="7" xfId="0" applyFont="1" applyBorder="1"/>
    <xf numFmtId="0" fontId="7" fillId="36" borderId="3" xfId="0" applyFont="1" applyFill="1" applyBorder="1" applyAlignment="1">
      <alignment horizontal="center" vertical="center" wrapText="1"/>
    </xf>
    <xf numFmtId="0" fontId="7" fillId="36" borderId="5" xfId="0" applyFont="1" applyFill="1" applyBorder="1" applyAlignment="1">
      <alignment horizontal="center" vertical="center"/>
    </xf>
    <xf numFmtId="0" fontId="19" fillId="0" borderId="40" xfId="0" applyFont="1" applyBorder="1"/>
    <xf numFmtId="0" fontId="19" fillId="0" borderId="19" xfId="0" applyFont="1" applyBorder="1"/>
    <xf numFmtId="0" fontId="19" fillId="0" borderId="11" xfId="0" applyFont="1" applyBorder="1"/>
    <xf numFmtId="0" fontId="0" fillId="0" borderId="0" xfId="0"/>
    <xf numFmtId="0" fontId="7" fillId="0" borderId="3" xfId="0" applyFont="1" applyBorder="1" applyAlignment="1">
      <alignment horizontal="center" vertical="top" wrapText="1"/>
    </xf>
    <xf numFmtId="0" fontId="7" fillId="0" borderId="3" xfId="0" applyFont="1" applyBorder="1" applyAlignment="1">
      <alignment horizontal="center" vertical="center"/>
    </xf>
    <xf numFmtId="0" fontId="6" fillId="0" borderId="5" xfId="0" applyFont="1" applyBorder="1" applyAlignment="1">
      <alignment horizontal="center" vertical="center" wrapText="1"/>
    </xf>
    <xf numFmtId="0" fontId="7" fillId="0" borderId="3" xfId="0" applyFont="1" applyBorder="1" applyAlignment="1">
      <alignment horizontal="center" vertical="center" wrapText="1"/>
    </xf>
    <xf numFmtId="0" fontId="30" fillId="41" borderId="5" xfId="0" applyFont="1" applyFill="1" applyBorder="1" applyAlignment="1">
      <alignment horizontal="left" vertical="center"/>
    </xf>
    <xf numFmtId="0" fontId="30" fillId="41" borderId="11" xfId="0" applyFont="1" applyFill="1" applyBorder="1" applyAlignment="1">
      <alignment horizontal="left" vertical="center"/>
    </xf>
    <xf numFmtId="0" fontId="4" fillId="41" borderId="11" xfId="0" applyFont="1" applyFill="1" applyBorder="1" applyAlignment="1">
      <alignment horizontal="left" vertical="center"/>
    </xf>
    <xf numFmtId="0" fontId="29" fillId="32" borderId="5" xfId="0" applyFont="1" applyFill="1" applyBorder="1" applyAlignment="1">
      <alignment horizontal="left" vertical="center"/>
    </xf>
    <xf numFmtId="0" fontId="29" fillId="40" borderId="5" xfId="0" applyFont="1" applyFill="1" applyBorder="1" applyAlignment="1">
      <alignment horizontal="left" vertical="center"/>
    </xf>
    <xf numFmtId="0" fontId="4" fillId="41" borderId="11" xfId="0" applyFont="1" applyFill="1" applyBorder="1" applyAlignment="1">
      <alignment vertical="center"/>
    </xf>
    <xf numFmtId="0" fontId="26" fillId="38" borderId="5" xfId="0" applyFont="1" applyFill="1" applyBorder="1" applyAlignment="1">
      <alignment horizontal="center" vertical="center"/>
    </xf>
  </cellXfs>
  <cellStyles count="2">
    <cellStyle name="Hyperlink" xfId="1" builtinId="8"/>
    <cellStyle name="Normal" xfId="0" builtinId="0"/>
  </cellStyles>
  <dxfs count="9">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C2A0-4682-8EAD-D8B96834E421}"/>
              </c:ext>
            </c:extLst>
          </c:dPt>
          <c:dPt>
            <c:idx val="1"/>
            <c:bubble3D val="0"/>
            <c:spPr>
              <a:solidFill>
                <a:srgbClr val="C0504D"/>
              </a:solidFill>
            </c:spPr>
            <c:extLst>
              <c:ext xmlns:c16="http://schemas.microsoft.com/office/drawing/2014/chart" uri="{C3380CC4-5D6E-409C-BE32-E72D297353CC}">
                <c16:uniqueId val="{00000003-C2A0-4682-8EAD-D8B96834E421}"/>
              </c:ext>
            </c:extLst>
          </c:dPt>
          <c:dPt>
            <c:idx val="2"/>
            <c:bubble3D val="0"/>
            <c:spPr>
              <a:solidFill>
                <a:srgbClr val="9BBB59"/>
              </a:solidFill>
            </c:spPr>
            <c:extLst>
              <c:ext xmlns:c16="http://schemas.microsoft.com/office/drawing/2014/chart" uri="{C3380CC4-5D6E-409C-BE32-E72D297353CC}">
                <c16:uniqueId val="{00000005-C2A0-4682-8EAD-D8B96834E421}"/>
              </c:ext>
            </c:extLst>
          </c:dPt>
          <c:dPt>
            <c:idx val="3"/>
            <c:bubble3D val="0"/>
            <c:spPr>
              <a:solidFill>
                <a:srgbClr val="8064A2"/>
              </a:solidFill>
            </c:spPr>
            <c:extLst>
              <c:ext xmlns:c16="http://schemas.microsoft.com/office/drawing/2014/chart" uri="{C3380CC4-5D6E-409C-BE32-E72D297353CC}">
                <c16:uniqueId val="{00000007-C2A0-4682-8EAD-D8B96834E421}"/>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C2A0-4682-8EAD-D8B96834E421}"/>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C2A0-4682-8EAD-D8B96834E421}"/>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C2A0-4682-8EAD-D8B96834E421}"/>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C2A0-4682-8EAD-D8B96834E421}"/>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'[1]Test Summary Report'!$J$8:$J$11</c:f>
              <c:strCache>
                <c:ptCount val="4"/>
                <c:pt idx="0">
                  <c:v>PASS</c:v>
                </c:pt>
                <c:pt idx="1">
                  <c:v>FAIL</c:v>
                </c:pt>
                <c:pt idx="2">
                  <c:v>Not Executed</c:v>
                </c:pt>
                <c:pt idx="3">
                  <c:v>Out of Scope</c:v>
                </c:pt>
              </c:strCache>
            </c:strRef>
          </c:cat>
          <c:val>
            <c:numRef>
              <c:f>'[1]Test Summary Report'!$I$8:$I$11</c:f>
              <c:numCache>
                <c:formatCode>General</c:formatCode>
                <c:ptCount val="4"/>
                <c:pt idx="0">
                  <c:v>59</c:v>
                </c:pt>
                <c:pt idx="1">
                  <c:v>10</c:v>
                </c:pt>
                <c:pt idx="2">
                  <c:v>0</c:v>
                </c:pt>
                <c:pt idx="3">
                  <c:v>0</c:v>
                </c:pt>
              </c:numCache>
            </c:numRef>
          </c:val>
          <c:extLst>
            <c:ext xmlns:c16="http://schemas.microsoft.com/office/drawing/2014/chart" uri="{C3380CC4-5D6E-409C-BE32-E72D297353CC}">
              <c16:uniqueId val="{00000008-C2A0-4682-8EAD-D8B96834E421}"/>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11</xdr:col>
      <xdr:colOff>438431</xdr:colOff>
      <xdr:row>27</xdr:row>
      <xdr:rowOff>160020</xdr:rowOff>
    </xdr:to>
    <xdr:pic>
      <xdr:nvPicPr>
        <xdr:cNvPr id="3" name="Picture 2">
          <a:extLst>
            <a:ext uri="{FF2B5EF4-FFF2-40B4-BE49-F238E27FC236}">
              <a16:creationId xmlns:a16="http://schemas.microsoft.com/office/drawing/2014/main" id="{6858CD56-E01A-4DB0-9C74-33B96D6A15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731521"/>
          <a:ext cx="6534431" cy="43662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28</xdr:row>
      <xdr:rowOff>161877</xdr:rowOff>
    </xdr:to>
    <xdr:pic>
      <xdr:nvPicPr>
        <xdr:cNvPr id="3" name="Picture 2">
          <a:extLst>
            <a:ext uri="{FF2B5EF4-FFF2-40B4-BE49-F238E27FC236}">
              <a16:creationId xmlns:a16="http://schemas.microsoft.com/office/drawing/2014/main" id="{CE0FF5C9-6F3E-41D8-AC94-013165968B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52825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704850</xdr:colOff>
      <xdr:row>17</xdr:row>
      <xdr:rowOff>247650</xdr:rowOff>
    </xdr:from>
    <xdr:ext cx="4657725" cy="2933700"/>
    <xdr:graphicFrame macro="">
      <xdr:nvGraphicFramePr>
        <xdr:cNvPr id="2" name="Chart 1">
          <a:extLst>
            <a:ext uri="{FF2B5EF4-FFF2-40B4-BE49-F238E27FC236}">
              <a16:creationId xmlns:a16="http://schemas.microsoft.com/office/drawing/2014/main" id="{B0E4089D-2D16-420D-9BA7-AA456046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My_TestCase-Wri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
      <sheetName val="Mind Maps "/>
      <sheetName val="TestScenarios"/>
      <sheetName val="TestCase"/>
      <sheetName val="Test Summary Report"/>
      <sheetName val="Bug Report"/>
      <sheetName val="Test Metrics"/>
      <sheetName val="Recommandation"/>
    </sheetNames>
    <sheetDataSet>
      <sheetData sheetId="0"/>
      <sheetData sheetId="1"/>
      <sheetData sheetId="2"/>
      <sheetData sheetId="3">
        <row r="1">
          <cell r="L1" t="str">
            <v>TEST CASE</v>
          </cell>
        </row>
      </sheetData>
      <sheetData sheetId="4">
        <row r="8">
          <cell r="I8">
            <v>59</v>
          </cell>
          <cell r="J8" t="str">
            <v>PASS</v>
          </cell>
        </row>
        <row r="9">
          <cell r="I9">
            <v>10</v>
          </cell>
          <cell r="J9" t="str">
            <v>FAIL</v>
          </cell>
        </row>
        <row r="10">
          <cell r="I10">
            <v>0</v>
          </cell>
          <cell r="J10" t="str">
            <v>Not Executed</v>
          </cell>
        </row>
        <row r="11">
          <cell r="I11">
            <v>0</v>
          </cell>
          <cell r="J11" t="str">
            <v>Out of Scope</v>
          </cell>
        </row>
      </sheetData>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Downloads/Doc1.pdf" TargetMode="External"/><Relationship Id="rId1" Type="http://schemas.openxmlformats.org/officeDocument/2006/relationships/hyperlink" Target="https://drive.google.com/file/d/16xRrTYwtnqcs3sYCmHSdIzgEJgDUdFh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kugJKKVcdcs_Pa_0zRiHqJxfDplwUfRT/view?usp=sharing" TargetMode="External"/><Relationship Id="rId2" Type="http://schemas.openxmlformats.org/officeDocument/2006/relationships/hyperlink" Target="https://drive.google.com/file/d/1H8_LPV8mcoGs14E6SEkpmVum-VqjHhfY/view?usp=drive_link" TargetMode="External"/><Relationship Id="rId1" Type="http://schemas.openxmlformats.org/officeDocument/2006/relationships/hyperlink" Target="https://drive.google.com/file/d/14lzBF6Vash4CcJfbywdN0hdkxkdOw_yz/view?usp=sharing" TargetMode="External"/><Relationship Id="rId5" Type="http://schemas.openxmlformats.org/officeDocument/2006/relationships/hyperlink" Target="https://drive.google.com/file/d/16xRrTYwtnqcs3sYCmHSdIzgEJgDUdFhO/view?usp=drive_link" TargetMode="External"/><Relationship Id="rId4" Type="http://schemas.openxmlformats.org/officeDocument/2006/relationships/hyperlink" Target="https://drive.google.com/file/d/1Kqetl-YwNOqYkRUbBj4_F-Et_GEu8f0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2A6A-C358-4DD1-BEF4-A515F1244EDD}">
  <dimension ref="Q7"/>
  <sheetViews>
    <sheetView topLeftCell="A3" workbookViewId="0">
      <selection activeCell="Q7" sqref="Q7"/>
    </sheetView>
  </sheetViews>
  <sheetFormatPr defaultRowHeight="14.4"/>
  <sheetData>
    <row r="7" spans="17:17">
      <c r="Q7"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04E5-04FC-4F1A-BDC0-9748E84B5D66}">
  <dimension ref="A1"/>
  <sheetViews>
    <sheetView workbookViewId="0"/>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3340-592E-496E-9F31-1EB4B40FED3E}">
  <dimension ref="A1:E22"/>
  <sheetViews>
    <sheetView workbookViewId="0">
      <selection activeCell="B4" sqref="B4:C4"/>
    </sheetView>
  </sheetViews>
  <sheetFormatPr defaultRowHeight="14.4"/>
  <cols>
    <col min="1" max="1" width="24.77734375" customWidth="1"/>
    <col min="2" max="2" width="26" customWidth="1"/>
    <col min="3" max="3" width="69.77734375" customWidth="1"/>
    <col min="4" max="4" width="27.21875" customWidth="1"/>
    <col min="5" max="5" width="22.109375" customWidth="1"/>
  </cols>
  <sheetData>
    <row r="1" spans="1:5" s="121" customFormat="1" ht="15" thickBot="1">
      <c r="A1" s="276" t="s">
        <v>543</v>
      </c>
      <c r="B1" s="285" t="s">
        <v>542</v>
      </c>
      <c r="C1" s="286"/>
    </row>
    <row r="2" spans="1:5" s="121" customFormat="1" ht="15" thickBot="1">
      <c r="A2" s="276" t="s">
        <v>540</v>
      </c>
      <c r="B2" s="287" t="s">
        <v>544</v>
      </c>
      <c r="C2" s="288"/>
    </row>
    <row r="3" spans="1:5" ht="15" thickBot="1">
      <c r="A3" s="277" t="s">
        <v>541</v>
      </c>
      <c r="B3" s="281" t="s">
        <v>545</v>
      </c>
      <c r="C3" s="282"/>
      <c r="D3" s="23"/>
      <c r="E3" s="23"/>
    </row>
    <row r="4" spans="1:5" ht="15" thickBot="1">
      <c r="A4" s="277" t="s">
        <v>132</v>
      </c>
      <c r="B4" s="283" t="s">
        <v>546</v>
      </c>
      <c r="C4" s="284"/>
      <c r="D4" s="23"/>
      <c r="E4" s="23"/>
    </row>
    <row r="5" spans="1:5" ht="15" thickBot="1">
      <c r="A5" s="275" t="s">
        <v>133</v>
      </c>
      <c r="B5" s="289"/>
      <c r="C5" s="290"/>
      <c r="D5" s="23"/>
      <c r="E5" s="23"/>
    </row>
    <row r="6" spans="1:5">
      <c r="A6" s="23"/>
      <c r="B6" s="24"/>
      <c r="C6" s="25"/>
      <c r="D6" s="23"/>
      <c r="E6" s="23"/>
    </row>
    <row r="7" spans="1:5">
      <c r="A7" s="26"/>
      <c r="B7" s="27"/>
      <c r="C7" s="28"/>
      <c r="D7" s="23"/>
      <c r="E7" s="23"/>
    </row>
    <row r="8" spans="1:5">
      <c r="A8" s="29"/>
      <c r="B8" s="30"/>
      <c r="C8" s="31"/>
      <c r="D8" s="32"/>
      <c r="E8" s="32"/>
    </row>
    <row r="9" spans="1:5">
      <c r="A9" s="33" t="s">
        <v>134</v>
      </c>
      <c r="B9" s="34" t="s">
        <v>135</v>
      </c>
      <c r="C9" s="35" t="s">
        <v>136</v>
      </c>
      <c r="D9" s="34" t="s">
        <v>137</v>
      </c>
      <c r="E9" s="34" t="s">
        <v>138</v>
      </c>
    </row>
    <row r="10" spans="1:5">
      <c r="A10" s="36" t="s">
        <v>139</v>
      </c>
      <c r="B10" s="37"/>
      <c r="C10" s="38" t="s">
        <v>140</v>
      </c>
      <c r="D10" s="36" t="s">
        <v>141</v>
      </c>
      <c r="E10" s="36">
        <v>1</v>
      </c>
    </row>
    <row r="11" spans="1:5">
      <c r="A11" s="39" t="s">
        <v>142</v>
      </c>
      <c r="B11" s="37"/>
      <c r="C11" s="40" t="s">
        <v>143</v>
      </c>
      <c r="D11" s="36" t="s">
        <v>144</v>
      </c>
      <c r="E11" s="36">
        <v>27</v>
      </c>
    </row>
    <row r="12" spans="1:5">
      <c r="A12" s="36" t="s">
        <v>535</v>
      </c>
      <c r="B12" s="37"/>
      <c r="C12" s="40" t="s">
        <v>525</v>
      </c>
      <c r="D12" s="41" t="s">
        <v>144</v>
      </c>
      <c r="E12" s="36">
        <v>15</v>
      </c>
    </row>
    <row r="13" spans="1:5">
      <c r="A13" s="36" t="s">
        <v>145</v>
      </c>
      <c r="B13" s="37"/>
      <c r="C13" s="40" t="s">
        <v>526</v>
      </c>
      <c r="D13" s="41" t="s">
        <v>144</v>
      </c>
      <c r="E13" s="36">
        <v>7</v>
      </c>
    </row>
    <row r="14" spans="1:5">
      <c r="A14" s="36" t="s">
        <v>536</v>
      </c>
      <c r="B14" s="37"/>
      <c r="C14" s="40" t="s">
        <v>527</v>
      </c>
      <c r="D14" s="41" t="s">
        <v>148</v>
      </c>
      <c r="E14" s="36">
        <v>9</v>
      </c>
    </row>
    <row r="15" spans="1:5">
      <c r="A15" s="36" t="s">
        <v>146</v>
      </c>
      <c r="B15" s="37"/>
      <c r="C15" s="40" t="s">
        <v>153</v>
      </c>
      <c r="D15" s="41" t="s">
        <v>144</v>
      </c>
      <c r="E15" s="36">
        <v>1</v>
      </c>
    </row>
    <row r="16" spans="1:5">
      <c r="A16" s="36" t="s">
        <v>537</v>
      </c>
      <c r="B16" s="37"/>
      <c r="C16" s="40" t="s">
        <v>528</v>
      </c>
      <c r="D16" s="41" t="s">
        <v>154</v>
      </c>
      <c r="E16" s="36">
        <v>1</v>
      </c>
    </row>
    <row r="17" spans="1:5">
      <c r="A17" s="36" t="s">
        <v>538</v>
      </c>
      <c r="B17" s="37"/>
      <c r="C17" s="40" t="s">
        <v>529</v>
      </c>
      <c r="D17" s="41" t="s">
        <v>148</v>
      </c>
      <c r="E17" s="36">
        <v>1</v>
      </c>
    </row>
    <row r="18" spans="1:5">
      <c r="A18" s="36" t="s">
        <v>147</v>
      </c>
      <c r="B18" s="37"/>
      <c r="C18" s="40" t="s">
        <v>530</v>
      </c>
      <c r="D18" s="41" t="s">
        <v>151</v>
      </c>
      <c r="E18" s="36">
        <v>1</v>
      </c>
    </row>
    <row r="19" spans="1:5">
      <c r="A19" s="36" t="s">
        <v>149</v>
      </c>
      <c r="B19" s="37"/>
      <c r="C19" s="40" t="s">
        <v>531</v>
      </c>
      <c r="D19" s="41" t="s">
        <v>151</v>
      </c>
      <c r="E19" s="36">
        <v>1</v>
      </c>
    </row>
    <row r="20" spans="1:5">
      <c r="A20" s="36" t="s">
        <v>539</v>
      </c>
      <c r="B20" s="37"/>
      <c r="C20" s="40" t="s">
        <v>532</v>
      </c>
      <c r="D20" s="41" t="s">
        <v>151</v>
      </c>
      <c r="E20" s="36">
        <v>1</v>
      </c>
    </row>
    <row r="21" spans="1:5">
      <c r="A21" s="36" t="s">
        <v>150</v>
      </c>
      <c r="B21" s="37"/>
      <c r="C21" s="40" t="s">
        <v>533</v>
      </c>
      <c r="D21" s="41" t="s">
        <v>151</v>
      </c>
      <c r="E21" s="36">
        <v>1</v>
      </c>
    </row>
    <row r="22" spans="1:5">
      <c r="A22" s="36" t="s">
        <v>152</v>
      </c>
      <c r="B22" s="37"/>
      <c r="C22" s="40" t="s">
        <v>534</v>
      </c>
      <c r="D22" s="41" t="s">
        <v>151</v>
      </c>
      <c r="E22" s="36">
        <v>1</v>
      </c>
    </row>
  </sheetData>
  <mergeCells count="5">
    <mergeCell ref="B3:C3"/>
    <mergeCell ref="B4:C4"/>
    <mergeCell ref="B1:C1"/>
    <mergeCell ref="B2:C2"/>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1212-0423-46E2-B617-63CC75A9CB38}">
  <dimension ref="A1:CEK167"/>
  <sheetViews>
    <sheetView tabSelected="1" zoomScale="59" zoomScaleNormal="70" workbookViewId="0">
      <pane ySplit="6" topLeftCell="A65" activePane="bottomLeft" state="frozen"/>
      <selection pane="bottomLeft" activeCell="H13" sqref="H13"/>
    </sheetView>
  </sheetViews>
  <sheetFormatPr defaultRowHeight="14.4"/>
  <cols>
    <col min="1" max="1" width="21.77734375" customWidth="1"/>
    <col min="2" max="2" width="18.109375" customWidth="1"/>
    <col min="3" max="3" width="20.33203125" customWidth="1"/>
    <col min="4" max="4" width="40.88671875" customWidth="1"/>
    <col min="5" max="6" width="71.109375" customWidth="1"/>
    <col min="7" max="7" width="67.6640625" customWidth="1"/>
    <col min="8" max="8" width="35.77734375" customWidth="1"/>
    <col min="9" max="9" width="21.21875" customWidth="1"/>
    <col min="10" max="10" width="16.21875" customWidth="1"/>
    <col min="11" max="11" width="21.6640625" customWidth="1"/>
    <col min="12" max="12" width="56" customWidth="1"/>
  </cols>
  <sheetData>
    <row r="1" spans="1:2169" ht="15" customHeight="1">
      <c r="A1" s="2" t="s">
        <v>1</v>
      </c>
      <c r="B1" t="s">
        <v>6</v>
      </c>
      <c r="C1" s="2" t="s">
        <v>8</v>
      </c>
      <c r="D1" t="s">
        <v>12</v>
      </c>
      <c r="E1" s="2" t="s">
        <v>16</v>
      </c>
      <c r="F1" s="106" t="s">
        <v>20</v>
      </c>
      <c r="I1" s="4"/>
      <c r="J1" s="4"/>
      <c r="K1" s="298" t="s">
        <v>23</v>
      </c>
      <c r="L1" s="298"/>
      <c r="M1" s="4"/>
      <c r="N1" s="4"/>
      <c r="O1" s="4"/>
      <c r="P1" s="4"/>
      <c r="Q1" s="4"/>
      <c r="R1" s="4"/>
      <c r="S1" s="4"/>
      <c r="T1" s="4"/>
    </row>
    <row r="2" spans="1:2169">
      <c r="A2" s="2" t="s">
        <v>2</v>
      </c>
      <c r="B2" t="s">
        <v>7</v>
      </c>
      <c r="C2" s="2" t="s">
        <v>9</v>
      </c>
      <c r="D2" t="s">
        <v>13</v>
      </c>
      <c r="E2" s="2" t="s">
        <v>17</v>
      </c>
      <c r="F2" s="106" t="s">
        <v>21</v>
      </c>
      <c r="I2" s="4"/>
      <c r="J2" s="4"/>
      <c r="K2" s="5" t="s">
        <v>46</v>
      </c>
      <c r="L2" s="10">
        <f>COUNTIF(K9:K125, "Passed")</f>
        <v>102</v>
      </c>
      <c r="M2" s="4"/>
      <c r="N2" s="4"/>
      <c r="O2" s="4"/>
      <c r="P2" s="4"/>
      <c r="Q2" s="4"/>
      <c r="R2" s="4"/>
      <c r="S2" s="4"/>
      <c r="T2" s="4"/>
    </row>
    <row r="3" spans="1:2169">
      <c r="A3" s="2" t="s">
        <v>3</v>
      </c>
      <c r="C3" s="2" t="s">
        <v>10</v>
      </c>
      <c r="D3" t="s">
        <v>14</v>
      </c>
      <c r="E3" s="2" t="s">
        <v>18</v>
      </c>
      <c r="F3" s="106" t="s">
        <v>22</v>
      </c>
      <c r="I3" s="4"/>
      <c r="J3" s="4"/>
      <c r="K3" s="6" t="s">
        <v>45</v>
      </c>
      <c r="L3" s="10">
        <f>COUNTIF(K9:K551, "FailED")</f>
        <v>11</v>
      </c>
      <c r="M3" s="4"/>
      <c r="N3" s="4"/>
      <c r="O3" s="4"/>
      <c r="P3" s="4"/>
      <c r="Q3" s="4"/>
      <c r="R3" s="4"/>
      <c r="S3" s="4"/>
      <c r="T3" s="4"/>
    </row>
    <row r="4" spans="1:2169">
      <c r="A4" s="2" t="s">
        <v>4</v>
      </c>
      <c r="C4" s="2" t="s">
        <v>11</v>
      </c>
      <c r="D4" t="s">
        <v>15</v>
      </c>
      <c r="E4" s="2" t="s">
        <v>19</v>
      </c>
      <c r="F4" s="106" t="s">
        <v>22</v>
      </c>
      <c r="I4" s="4"/>
      <c r="J4" s="4"/>
      <c r="K4" s="7" t="s">
        <v>24</v>
      </c>
      <c r="L4" s="10">
        <f ca="1">SUM(L2:L6)</f>
        <v>0</v>
      </c>
      <c r="M4" s="4"/>
      <c r="N4" s="4"/>
      <c r="O4" s="4"/>
      <c r="P4" s="4"/>
      <c r="Q4" s="4"/>
      <c r="R4" s="4"/>
      <c r="S4" s="4"/>
      <c r="T4" s="4"/>
    </row>
    <row r="5" spans="1:2169">
      <c r="A5" s="2"/>
      <c r="C5" s="2"/>
      <c r="E5" s="2"/>
      <c r="F5" s="106"/>
      <c r="I5" s="4"/>
      <c r="J5" s="4"/>
      <c r="K5" s="12" t="s">
        <v>25</v>
      </c>
      <c r="L5" s="11">
        <f>COUNTIF(K7:K550, "Out of Scope")</f>
        <v>0</v>
      </c>
      <c r="M5" s="4"/>
      <c r="N5" s="4"/>
      <c r="O5" s="4"/>
      <c r="P5" s="4"/>
      <c r="Q5" s="4"/>
      <c r="R5" s="4"/>
      <c r="S5" s="4"/>
      <c r="T5" s="4"/>
    </row>
    <row r="6" spans="1:2169">
      <c r="A6" s="3" t="s">
        <v>5</v>
      </c>
      <c r="B6" s="3"/>
      <c r="C6" s="3"/>
      <c r="D6" s="3"/>
      <c r="E6" s="3"/>
      <c r="F6" s="3"/>
      <c r="G6" s="3"/>
      <c r="H6" s="3"/>
      <c r="I6" s="119"/>
      <c r="J6" s="119"/>
      <c r="K6" s="8" t="s">
        <v>26</v>
      </c>
      <c r="L6" s="9">
        <f ca="1">SUM( L2,L3,L4,L5)</f>
        <v>0</v>
      </c>
    </row>
    <row r="7" spans="1:2169" ht="15" thickBot="1">
      <c r="K7" s="4"/>
      <c r="L7" s="4"/>
    </row>
    <row r="8" spans="1:2169" ht="42.6" customHeight="1" thickBot="1">
      <c r="A8" s="126" t="s">
        <v>508</v>
      </c>
      <c r="B8" s="127" t="s">
        <v>27</v>
      </c>
      <c r="C8" s="128" t="s">
        <v>28</v>
      </c>
      <c r="D8" s="129" t="s">
        <v>29</v>
      </c>
      <c r="E8" s="128" t="s">
        <v>30</v>
      </c>
      <c r="F8" s="128" t="s">
        <v>33</v>
      </c>
      <c r="G8" s="128" t="s">
        <v>31</v>
      </c>
      <c r="H8" s="128" t="s">
        <v>32</v>
      </c>
      <c r="I8" s="130" t="s">
        <v>34</v>
      </c>
      <c r="J8" s="128" t="s">
        <v>35</v>
      </c>
      <c r="K8" s="129" t="s">
        <v>36</v>
      </c>
      <c r="L8" s="131" t="s">
        <v>37</v>
      </c>
      <c r="M8" s="132"/>
      <c r="N8" s="132"/>
      <c r="O8" s="132"/>
      <c r="P8" s="107"/>
      <c r="Q8" s="107"/>
      <c r="R8" s="107"/>
      <c r="S8" s="107"/>
      <c r="T8" s="107"/>
      <c r="U8" s="107"/>
      <c r="V8" s="107"/>
      <c r="W8" s="107"/>
      <c r="X8" s="107"/>
      <c r="Y8" s="107"/>
      <c r="Z8" s="107"/>
      <c r="AA8" s="107"/>
      <c r="AB8" s="107"/>
      <c r="AC8" s="104"/>
    </row>
    <row r="9" spans="1:2169" ht="59.4" customHeight="1" thickBot="1">
      <c r="A9" s="133">
        <v>1</v>
      </c>
      <c r="B9" s="133" t="s">
        <v>7</v>
      </c>
      <c r="C9" s="134" t="s">
        <v>47</v>
      </c>
      <c r="D9" s="134" t="s">
        <v>48</v>
      </c>
      <c r="E9" s="135" t="s">
        <v>49</v>
      </c>
      <c r="F9" s="135" t="s">
        <v>273</v>
      </c>
      <c r="G9" s="135" t="s">
        <v>50</v>
      </c>
      <c r="H9" s="135" t="s">
        <v>39</v>
      </c>
      <c r="I9" s="136"/>
      <c r="J9" s="263"/>
      <c r="K9" s="137" t="s">
        <v>38</v>
      </c>
      <c r="L9" s="138"/>
      <c r="M9" s="264"/>
      <c r="N9" s="264"/>
      <c r="O9" s="264"/>
      <c r="P9" s="108"/>
      <c r="Q9" s="108"/>
      <c r="R9" s="108"/>
      <c r="S9" s="108"/>
      <c r="T9" s="108"/>
      <c r="U9" s="108"/>
      <c r="V9" s="108"/>
      <c r="W9" s="108"/>
      <c r="X9" s="108"/>
      <c r="Y9" s="108"/>
      <c r="Z9" s="108"/>
      <c r="AA9" s="108"/>
      <c r="AB9" s="108"/>
      <c r="AC9" s="104"/>
    </row>
    <row r="10" spans="1:2169" s="105" customFormat="1" ht="36" customHeight="1" thickBot="1">
      <c r="A10" s="309" t="s">
        <v>51</v>
      </c>
      <c r="B10" s="310"/>
      <c r="C10" s="310"/>
      <c r="D10" s="310"/>
      <c r="E10" s="310"/>
      <c r="F10" s="310"/>
      <c r="G10" s="310"/>
      <c r="H10" s="310"/>
      <c r="I10" s="310"/>
      <c r="J10" s="310"/>
      <c r="K10" s="310"/>
      <c r="L10" s="310"/>
      <c r="M10" s="310"/>
      <c r="N10" s="310"/>
      <c r="O10" s="311"/>
    </row>
    <row r="11" spans="1:2169" ht="96" customHeight="1" thickBot="1">
      <c r="A11" s="139">
        <v>2</v>
      </c>
      <c r="B11" s="140"/>
      <c r="C11" s="141"/>
      <c r="D11" s="142" t="s">
        <v>52</v>
      </c>
      <c r="E11" s="143" t="s">
        <v>53</v>
      </c>
      <c r="F11" s="144" t="s">
        <v>274</v>
      </c>
      <c r="G11" s="143" t="s">
        <v>262</v>
      </c>
      <c r="H11" s="144" t="s">
        <v>39</v>
      </c>
      <c r="I11" s="145"/>
      <c r="J11" s="265"/>
      <c r="K11" s="146" t="s">
        <v>38</v>
      </c>
      <c r="L11" s="147"/>
      <c r="M11" s="266"/>
      <c r="N11" s="267"/>
      <c r="O11" s="267"/>
      <c r="P11" s="109"/>
      <c r="Q11" s="109"/>
      <c r="R11" s="109"/>
      <c r="S11" s="109"/>
      <c r="T11" s="109"/>
      <c r="U11" s="109"/>
      <c r="V11" s="109"/>
      <c r="W11" s="109"/>
      <c r="X11" s="109"/>
      <c r="Y11" s="109"/>
      <c r="Z11" s="109"/>
      <c r="AA11" s="109"/>
      <c r="AB11" s="109"/>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c r="CW11" s="104"/>
      <c r="CX11" s="104"/>
      <c r="CY11" s="104"/>
      <c r="CZ11" s="104"/>
      <c r="DA11" s="104"/>
      <c r="DB11" s="104"/>
      <c r="DC11" s="104"/>
      <c r="DD11" s="104"/>
      <c r="DE11" s="104"/>
      <c r="DF11" s="104"/>
      <c r="DG11" s="104"/>
      <c r="DH11" s="104"/>
      <c r="DI11" s="104"/>
      <c r="DJ11" s="104"/>
      <c r="DK11" s="104"/>
      <c r="DL11" s="104"/>
      <c r="DM11" s="104"/>
      <c r="DN11" s="104"/>
      <c r="DO11" s="104"/>
      <c r="DP11" s="104"/>
      <c r="DQ11" s="104"/>
      <c r="DR11" s="104"/>
      <c r="DS11" s="104"/>
      <c r="DT11" s="104"/>
      <c r="DU11" s="104"/>
      <c r="DV11" s="104"/>
      <c r="DW11" s="104"/>
      <c r="DX11" s="104"/>
      <c r="DY11" s="104"/>
      <c r="DZ11" s="104"/>
      <c r="EA11" s="104"/>
      <c r="EB11" s="104"/>
      <c r="EC11" s="104"/>
      <c r="ED11" s="104"/>
      <c r="EE11" s="104"/>
      <c r="EF11" s="104"/>
      <c r="EG11" s="104"/>
      <c r="EH11" s="104"/>
      <c r="EI11" s="104"/>
      <c r="EJ11" s="104"/>
      <c r="EK11" s="104"/>
      <c r="EL11" s="104"/>
      <c r="EM11" s="104"/>
      <c r="EN11" s="104"/>
      <c r="EO11" s="104"/>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4"/>
      <c r="FR11" s="104"/>
      <c r="FS11" s="104"/>
      <c r="FT11" s="104"/>
      <c r="FU11" s="104"/>
      <c r="FV11" s="104"/>
      <c r="FW11" s="104"/>
      <c r="FX11" s="104"/>
      <c r="FY11" s="104"/>
      <c r="FZ11" s="104"/>
      <c r="GA11" s="104"/>
      <c r="GB11" s="104"/>
      <c r="GC11" s="104"/>
      <c r="GD11" s="104"/>
      <c r="GE11" s="104"/>
      <c r="GF11" s="104"/>
      <c r="GG11" s="104"/>
      <c r="GH11" s="104"/>
      <c r="GI11" s="104"/>
      <c r="GJ11" s="104"/>
      <c r="GK11" s="104"/>
      <c r="GL11" s="104"/>
      <c r="GM11" s="104"/>
      <c r="GN11" s="104"/>
      <c r="GO11" s="104"/>
      <c r="GP11" s="104"/>
      <c r="GQ11" s="104"/>
      <c r="GR11" s="104"/>
      <c r="GS11" s="104"/>
      <c r="GT11" s="104"/>
      <c r="GU11" s="104"/>
      <c r="GV11" s="104"/>
      <c r="GW11" s="104"/>
      <c r="GX11" s="104"/>
      <c r="GY11" s="104"/>
      <c r="GZ11" s="104"/>
      <c r="HA11" s="104"/>
      <c r="HB11" s="104"/>
      <c r="HC11" s="104"/>
      <c r="HD11" s="104"/>
      <c r="HE11" s="104"/>
      <c r="HF11" s="104"/>
      <c r="HG11" s="104"/>
      <c r="HH11" s="104"/>
      <c r="HI11" s="104"/>
      <c r="HJ11" s="104"/>
      <c r="HK11" s="104"/>
      <c r="HL11" s="104"/>
      <c r="HM11" s="104"/>
      <c r="HN11" s="104"/>
      <c r="HO11" s="104"/>
      <c r="HP11" s="104"/>
      <c r="HQ11" s="104"/>
      <c r="HR11" s="104"/>
      <c r="HS11" s="104"/>
      <c r="HT11" s="104"/>
      <c r="HU11" s="104"/>
      <c r="HV11" s="104"/>
      <c r="HW11" s="104"/>
      <c r="HX11" s="104"/>
      <c r="HY11" s="104"/>
      <c r="HZ11" s="104"/>
      <c r="IA11" s="104"/>
      <c r="IB11" s="104"/>
      <c r="IC11" s="104"/>
      <c r="ID11" s="104"/>
      <c r="IE11" s="104"/>
      <c r="IF11" s="104"/>
      <c r="IG11" s="104"/>
      <c r="IH11" s="104"/>
      <c r="II11" s="104"/>
      <c r="IJ11" s="104"/>
      <c r="IK11" s="104"/>
      <c r="IL11" s="104"/>
      <c r="IM11" s="104"/>
      <c r="IN11" s="104"/>
      <c r="IO11" s="104"/>
      <c r="IP11" s="104"/>
      <c r="IQ11" s="104"/>
      <c r="IR11" s="104"/>
      <c r="IS11" s="104"/>
      <c r="IT11" s="104"/>
      <c r="IU11" s="104"/>
      <c r="IV11" s="104"/>
      <c r="IW11" s="104"/>
      <c r="IX11" s="104"/>
      <c r="IY11" s="104"/>
      <c r="IZ11" s="104"/>
      <c r="JA11" s="104"/>
      <c r="JB11" s="104"/>
      <c r="JC11" s="104"/>
      <c r="JD11" s="104"/>
      <c r="JE11" s="104"/>
      <c r="JF11" s="104"/>
      <c r="JG11" s="104"/>
      <c r="JH11" s="104"/>
      <c r="JI11" s="104"/>
      <c r="JJ11" s="104"/>
      <c r="JK11" s="104"/>
      <c r="JL11" s="104"/>
      <c r="JM11" s="104"/>
      <c r="JN11" s="104"/>
      <c r="JO11" s="104"/>
      <c r="JP11" s="104"/>
      <c r="JQ11" s="104"/>
      <c r="JR11" s="104"/>
      <c r="JS11" s="104"/>
      <c r="JT11" s="104"/>
      <c r="JU11" s="104"/>
      <c r="JV11" s="104"/>
      <c r="JW11" s="104"/>
      <c r="JX11" s="104"/>
      <c r="JY11" s="104"/>
      <c r="JZ11" s="104"/>
      <c r="KA11" s="104"/>
      <c r="KB11" s="104"/>
      <c r="KC11" s="104"/>
      <c r="KD11" s="104"/>
      <c r="KE11" s="104"/>
      <c r="KF11" s="104"/>
      <c r="KG11" s="104"/>
      <c r="KH11" s="104"/>
      <c r="KI11" s="104"/>
      <c r="KJ11" s="104"/>
      <c r="KK11" s="104"/>
      <c r="KL11" s="104"/>
      <c r="KM11" s="104"/>
      <c r="KN11" s="104"/>
      <c r="KO11" s="104"/>
      <c r="KP11" s="104"/>
      <c r="KQ11" s="104"/>
      <c r="KR11" s="104"/>
      <c r="KS11" s="104"/>
      <c r="KT11" s="104"/>
      <c r="KU11" s="104"/>
      <c r="KV11" s="104"/>
      <c r="KW11" s="104"/>
      <c r="KX11" s="104"/>
      <c r="KY11" s="104"/>
      <c r="KZ11" s="104"/>
      <c r="LA11" s="104"/>
      <c r="LB11" s="104"/>
      <c r="LC11" s="104"/>
      <c r="LD11" s="104"/>
      <c r="LE11" s="104"/>
      <c r="LF11" s="104"/>
      <c r="LG11" s="104"/>
      <c r="LH11" s="104"/>
      <c r="LI11" s="104"/>
      <c r="LJ11" s="104"/>
      <c r="LK11" s="104"/>
      <c r="LL11" s="104"/>
      <c r="LM11" s="104"/>
      <c r="LN11" s="104"/>
      <c r="LO11" s="104"/>
      <c r="LP11" s="104"/>
      <c r="LQ11" s="104"/>
      <c r="LR11" s="104"/>
      <c r="LS11" s="104"/>
      <c r="LT11" s="104"/>
      <c r="LU11" s="104"/>
      <c r="LV11" s="104"/>
      <c r="LW11" s="104"/>
      <c r="LX11" s="104"/>
      <c r="LY11" s="104"/>
      <c r="LZ11" s="104"/>
      <c r="MA11" s="104"/>
      <c r="MB11" s="104"/>
      <c r="MC11" s="104"/>
      <c r="MD11" s="104"/>
      <c r="ME11" s="104"/>
      <c r="MF11" s="104"/>
      <c r="MG11" s="104"/>
      <c r="MH11" s="104"/>
      <c r="MI11" s="104"/>
      <c r="MJ11" s="104"/>
      <c r="MK11" s="104"/>
      <c r="ML11" s="104"/>
      <c r="MM11" s="104"/>
      <c r="MN11" s="104"/>
      <c r="MO11" s="104"/>
      <c r="MP11" s="104"/>
      <c r="MQ11" s="104"/>
      <c r="MR11" s="104"/>
      <c r="MS11" s="104"/>
      <c r="MT11" s="104"/>
      <c r="MU11" s="104"/>
      <c r="MV11" s="104"/>
      <c r="MW11" s="104"/>
      <c r="MX11" s="104"/>
      <c r="MY11" s="104"/>
      <c r="MZ11" s="104"/>
      <c r="NA11" s="104"/>
      <c r="NB11" s="104"/>
      <c r="NC11" s="104"/>
      <c r="ND11" s="104"/>
      <c r="NE11" s="104"/>
      <c r="NF11" s="104"/>
      <c r="NG11" s="104"/>
      <c r="NH11" s="104"/>
      <c r="NI11" s="104"/>
      <c r="NJ11" s="104"/>
      <c r="NK11" s="104"/>
      <c r="NL11" s="104"/>
      <c r="NM11" s="104"/>
      <c r="NN11" s="104"/>
      <c r="NO11" s="104"/>
      <c r="NP11" s="104"/>
      <c r="NQ11" s="104"/>
      <c r="NR11" s="104"/>
      <c r="NS11" s="104"/>
      <c r="NT11" s="104"/>
      <c r="NU11" s="104"/>
      <c r="NV11" s="104"/>
      <c r="NW11" s="104"/>
      <c r="NX11" s="104"/>
      <c r="NY11" s="104"/>
      <c r="NZ11" s="104"/>
      <c r="OA11" s="104"/>
      <c r="OB11" s="104"/>
      <c r="OC11" s="104"/>
      <c r="OD11" s="104"/>
      <c r="OE11" s="104"/>
      <c r="OF11" s="104"/>
      <c r="OG11" s="104"/>
      <c r="OH11" s="104"/>
      <c r="OI11" s="104"/>
      <c r="OJ11" s="104"/>
      <c r="OK11" s="104"/>
      <c r="OL11" s="104"/>
      <c r="OM11" s="104"/>
      <c r="ON11" s="104"/>
      <c r="OO11" s="104"/>
      <c r="OP11" s="104"/>
      <c r="OQ11" s="104"/>
      <c r="OR11" s="104"/>
      <c r="OS11" s="104"/>
      <c r="OT11" s="104"/>
      <c r="OU11" s="104"/>
      <c r="OV11" s="104"/>
      <c r="OW11" s="104"/>
      <c r="OX11" s="104"/>
      <c r="OY11" s="104"/>
      <c r="OZ11" s="104"/>
      <c r="PA11" s="104"/>
      <c r="PB11" s="104"/>
      <c r="PC11" s="104"/>
      <c r="PD11" s="104"/>
      <c r="PE11" s="104"/>
      <c r="PF11" s="104"/>
      <c r="PG11" s="104"/>
      <c r="PH11" s="104"/>
      <c r="PI11" s="104"/>
      <c r="PJ11" s="104"/>
      <c r="PK11" s="104"/>
      <c r="PL11" s="104"/>
      <c r="PM11" s="104"/>
      <c r="PN11" s="104"/>
      <c r="PO11" s="104"/>
      <c r="PP11" s="104"/>
      <c r="PQ11" s="104"/>
      <c r="PR11" s="104"/>
      <c r="PS11" s="104"/>
      <c r="PT11" s="104"/>
      <c r="PU11" s="104"/>
      <c r="PV11" s="104"/>
      <c r="PW11" s="104"/>
      <c r="PX11" s="104"/>
      <c r="PY11" s="104"/>
      <c r="PZ11" s="104"/>
      <c r="QA11" s="104"/>
      <c r="QB11" s="104"/>
      <c r="QC11" s="104"/>
      <c r="QD11" s="104"/>
      <c r="QE11" s="104"/>
      <c r="QF11" s="104"/>
      <c r="QG11" s="104"/>
      <c r="QH11" s="104"/>
      <c r="QI11" s="104"/>
      <c r="QJ11" s="104"/>
      <c r="QK11" s="104"/>
      <c r="QL11" s="104"/>
      <c r="QM11" s="104"/>
      <c r="QN11" s="104"/>
      <c r="QO11" s="104"/>
      <c r="QP11" s="104"/>
      <c r="QQ11" s="104"/>
      <c r="QR11" s="104"/>
      <c r="QS11" s="104"/>
      <c r="QT11" s="104"/>
      <c r="QU11" s="104"/>
      <c r="QV11" s="104"/>
      <c r="QW11" s="104"/>
      <c r="QX11" s="104"/>
      <c r="QY11" s="104"/>
      <c r="QZ11" s="104"/>
      <c r="RA11" s="104"/>
      <c r="RB11" s="104"/>
      <c r="RC11" s="104"/>
      <c r="RD11" s="104"/>
      <c r="RE11" s="104"/>
      <c r="RF11" s="104"/>
      <c r="RG11" s="104"/>
      <c r="RH11" s="104"/>
      <c r="RI11" s="104"/>
      <c r="RJ11" s="104"/>
      <c r="RK11" s="104"/>
      <c r="RL11" s="104"/>
      <c r="RM11" s="104"/>
      <c r="RN11" s="104"/>
      <c r="RO11" s="104"/>
      <c r="RP11" s="104"/>
      <c r="RQ11" s="104"/>
      <c r="RR11" s="104"/>
      <c r="RS11" s="104"/>
      <c r="RT11" s="104"/>
      <c r="RU11" s="104"/>
      <c r="RV11" s="104"/>
      <c r="RW11" s="104"/>
      <c r="RX11" s="104"/>
      <c r="RY11" s="104"/>
      <c r="RZ11" s="104"/>
      <c r="SA11" s="104"/>
      <c r="SB11" s="104"/>
      <c r="SC11" s="104"/>
      <c r="SD11" s="104"/>
      <c r="SE11" s="104"/>
      <c r="SF11" s="104"/>
      <c r="SG11" s="104"/>
      <c r="SH11" s="104"/>
      <c r="SI11" s="104"/>
      <c r="SJ11" s="104"/>
      <c r="SK11" s="104"/>
      <c r="SL11" s="104"/>
      <c r="SM11" s="104"/>
      <c r="SN11" s="104"/>
      <c r="SO11" s="104"/>
      <c r="SP11" s="104"/>
      <c r="SQ11" s="104"/>
      <c r="SR11" s="104"/>
      <c r="SS11" s="104"/>
      <c r="ST11" s="104"/>
      <c r="SU11" s="104"/>
      <c r="SV11" s="104"/>
      <c r="SW11" s="104"/>
      <c r="SX11" s="104"/>
      <c r="SY11" s="104"/>
      <c r="SZ11" s="104"/>
      <c r="TA11" s="104"/>
      <c r="TB11" s="104"/>
      <c r="TC11" s="104"/>
      <c r="TD11" s="104"/>
      <c r="TE11" s="104"/>
      <c r="TF11" s="104"/>
      <c r="TG11" s="104"/>
      <c r="TH11" s="104"/>
      <c r="TI11" s="104"/>
      <c r="TJ11" s="104"/>
      <c r="TK11" s="104"/>
      <c r="TL11" s="104"/>
      <c r="TM11" s="104"/>
      <c r="TN11" s="104"/>
      <c r="TO11" s="104"/>
      <c r="TP11" s="104"/>
      <c r="TQ11" s="104"/>
      <c r="TR11" s="104"/>
      <c r="TS11" s="104"/>
      <c r="TT11" s="104"/>
      <c r="TU11" s="104"/>
      <c r="TV11" s="104"/>
      <c r="TW11" s="104"/>
      <c r="TX11" s="104"/>
      <c r="TY11" s="104"/>
      <c r="TZ11" s="104"/>
      <c r="UA11" s="104"/>
      <c r="UB11" s="104"/>
      <c r="UC11" s="104"/>
      <c r="UD11" s="104"/>
      <c r="UE11" s="104"/>
      <c r="UF11" s="104"/>
      <c r="UG11" s="104"/>
      <c r="UH11" s="104"/>
      <c r="UI11" s="104"/>
      <c r="UJ11" s="104"/>
      <c r="UK11" s="104"/>
      <c r="UL11" s="104"/>
      <c r="UM11" s="104"/>
      <c r="UN11" s="104"/>
      <c r="UO11" s="104"/>
      <c r="UP11" s="104"/>
      <c r="UQ11" s="104"/>
      <c r="UR11" s="104"/>
      <c r="US11" s="104"/>
      <c r="UT11" s="104"/>
      <c r="UU11" s="104"/>
      <c r="UV11" s="104"/>
      <c r="UW11" s="104"/>
      <c r="UX11" s="104"/>
      <c r="UY11" s="104"/>
      <c r="UZ11" s="104"/>
      <c r="VA11" s="104"/>
      <c r="VB11" s="104"/>
      <c r="VC11" s="104"/>
      <c r="VD11" s="104"/>
      <c r="VE11" s="104"/>
      <c r="VF11" s="104"/>
      <c r="VG11" s="104"/>
      <c r="VH11" s="104"/>
      <c r="VI11" s="104"/>
      <c r="VJ11" s="104"/>
      <c r="VK11" s="104"/>
      <c r="VL11" s="104"/>
      <c r="VM11" s="104"/>
      <c r="VN11" s="104"/>
      <c r="VO11" s="104"/>
      <c r="VP11" s="104"/>
      <c r="VQ11" s="104"/>
      <c r="VR11" s="104"/>
      <c r="VS11" s="104"/>
      <c r="VT11" s="104"/>
      <c r="VU11" s="104"/>
      <c r="VV11" s="104"/>
      <c r="VW11" s="104"/>
      <c r="VX11" s="104"/>
      <c r="VY11" s="104"/>
      <c r="VZ11" s="104"/>
      <c r="WA11" s="104"/>
      <c r="WB11" s="104"/>
      <c r="WC11" s="104"/>
      <c r="WD11" s="104"/>
      <c r="WE11" s="104"/>
      <c r="WF11" s="104"/>
      <c r="WG11" s="104"/>
      <c r="WH11" s="104"/>
      <c r="WI11" s="104"/>
      <c r="WJ11" s="104"/>
      <c r="WK11" s="104"/>
      <c r="WL11" s="104"/>
      <c r="WM11" s="104"/>
      <c r="WN11" s="104"/>
      <c r="WO11" s="104"/>
      <c r="WP11" s="104"/>
      <c r="WQ11" s="104"/>
      <c r="WR11" s="104"/>
      <c r="WS11" s="104"/>
      <c r="WT11" s="104"/>
      <c r="WU11" s="104"/>
      <c r="WV11" s="104"/>
      <c r="WW11" s="104"/>
      <c r="WX11" s="104"/>
      <c r="WY11" s="104"/>
      <c r="WZ11" s="104"/>
      <c r="XA11" s="104"/>
      <c r="XB11" s="104"/>
      <c r="XC11" s="104"/>
      <c r="XD11" s="104"/>
      <c r="XE11" s="104"/>
      <c r="XF11" s="104"/>
      <c r="XG11" s="104"/>
      <c r="XH11" s="104"/>
      <c r="XI11" s="104"/>
      <c r="XJ11" s="104"/>
      <c r="XK11" s="104"/>
      <c r="XL11" s="104"/>
      <c r="XM11" s="104"/>
      <c r="XN11" s="104"/>
      <c r="XO11" s="104"/>
      <c r="XP11" s="104"/>
      <c r="XQ11" s="104"/>
      <c r="XR11" s="104"/>
      <c r="XS11" s="104"/>
      <c r="XT11" s="104"/>
      <c r="XU11" s="104"/>
      <c r="XV11" s="104"/>
      <c r="XW11" s="104"/>
      <c r="XX11" s="104"/>
      <c r="XY11" s="104"/>
      <c r="XZ11" s="104"/>
      <c r="YA11" s="104"/>
      <c r="YB11" s="104"/>
      <c r="YC11" s="104"/>
      <c r="YD11" s="104"/>
      <c r="YE11" s="104"/>
      <c r="YF11" s="104"/>
      <c r="YG11" s="104"/>
      <c r="YH11" s="104"/>
      <c r="YI11" s="104"/>
      <c r="YJ11" s="104"/>
      <c r="YK11" s="104"/>
      <c r="YL11" s="104"/>
      <c r="YM11" s="104"/>
      <c r="YN11" s="104"/>
      <c r="YO11" s="104"/>
      <c r="YP11" s="104"/>
      <c r="YQ11" s="104"/>
      <c r="YR11" s="104"/>
      <c r="YS11" s="104"/>
      <c r="YT11" s="104"/>
      <c r="YU11" s="104"/>
      <c r="YV11" s="104"/>
      <c r="YW11" s="104"/>
      <c r="YX11" s="104"/>
      <c r="YY11" s="104"/>
      <c r="YZ11" s="104"/>
      <c r="ZA11" s="104"/>
      <c r="ZB11" s="104"/>
      <c r="ZC11" s="104"/>
      <c r="ZD11" s="104"/>
      <c r="ZE11" s="104"/>
      <c r="ZF11" s="104"/>
      <c r="ZG11" s="104"/>
      <c r="ZH11" s="104"/>
      <c r="ZI11" s="104"/>
      <c r="ZJ11" s="104"/>
      <c r="ZK11" s="104"/>
      <c r="ZL11" s="104"/>
      <c r="ZM11" s="104"/>
      <c r="ZN11" s="104"/>
      <c r="ZO11" s="104"/>
      <c r="ZP11" s="104"/>
      <c r="ZQ11" s="104"/>
      <c r="ZR11" s="104"/>
      <c r="ZS11" s="104"/>
      <c r="ZT11" s="104"/>
      <c r="ZU11" s="104"/>
      <c r="ZV11" s="104"/>
      <c r="ZW11" s="104"/>
      <c r="ZX11" s="104"/>
      <c r="ZY11" s="104"/>
      <c r="ZZ11" s="104"/>
      <c r="AAA11" s="104"/>
      <c r="AAB11" s="104"/>
      <c r="AAC11" s="104"/>
      <c r="AAD11" s="104"/>
      <c r="AAE11" s="104"/>
      <c r="AAF11" s="104"/>
      <c r="AAG11" s="104"/>
      <c r="AAH11" s="104"/>
      <c r="AAI11" s="104"/>
      <c r="AAJ11" s="104"/>
      <c r="AAK11" s="104"/>
      <c r="AAL11" s="104"/>
      <c r="AAM11" s="104"/>
      <c r="AAN11" s="104"/>
      <c r="AAO11" s="104"/>
      <c r="AAP11" s="104"/>
      <c r="AAQ11" s="104"/>
      <c r="AAR11" s="104"/>
      <c r="AAS11" s="104"/>
      <c r="AAT11" s="104"/>
      <c r="AAU11" s="104"/>
      <c r="AAV11" s="104"/>
      <c r="AAW11" s="104"/>
      <c r="AAX11" s="104"/>
      <c r="AAY11" s="104"/>
      <c r="AAZ11" s="104"/>
      <c r="ABA11" s="104"/>
      <c r="ABB11" s="104"/>
      <c r="ABC11" s="104"/>
      <c r="ABD11" s="104"/>
      <c r="ABE11" s="104"/>
      <c r="ABF11" s="104"/>
      <c r="ABG11" s="104"/>
      <c r="ABH11" s="104"/>
      <c r="ABI11" s="104"/>
      <c r="ABJ11" s="104"/>
      <c r="ABK11" s="104"/>
      <c r="ABL11" s="104"/>
      <c r="ABM11" s="104"/>
      <c r="ABN11" s="104"/>
      <c r="ABO11" s="104"/>
      <c r="ABP11" s="104"/>
      <c r="ABQ11" s="104"/>
      <c r="ABR11" s="104"/>
      <c r="ABS11" s="104"/>
      <c r="ABT11" s="104"/>
      <c r="ABU11" s="104"/>
      <c r="ABV11" s="104"/>
      <c r="ABW11" s="104"/>
      <c r="ABX11" s="104"/>
      <c r="ABY11" s="104"/>
      <c r="ABZ11" s="104"/>
      <c r="ACA11" s="104"/>
      <c r="ACB11" s="104"/>
      <c r="ACC11" s="104"/>
      <c r="ACD11" s="104"/>
      <c r="ACE11" s="104"/>
      <c r="ACF11" s="104"/>
      <c r="ACG11" s="104"/>
      <c r="ACH11" s="104"/>
      <c r="ACI11" s="104"/>
      <c r="ACJ11" s="104"/>
      <c r="ACK11" s="104"/>
      <c r="ACL11" s="104"/>
      <c r="ACM11" s="104"/>
      <c r="ACN11" s="104"/>
      <c r="ACO11" s="104"/>
      <c r="ACP11" s="104"/>
      <c r="ACQ11" s="104"/>
      <c r="ACR11" s="104"/>
      <c r="ACS11" s="104"/>
      <c r="ACT11" s="104"/>
      <c r="ACU11" s="104"/>
      <c r="ACV11" s="104"/>
      <c r="ACW11" s="104"/>
      <c r="ACX11" s="104"/>
      <c r="ACY11" s="104"/>
      <c r="ACZ11" s="104"/>
      <c r="ADA11" s="104"/>
      <c r="ADB11" s="104"/>
      <c r="ADC11" s="104"/>
      <c r="ADD11" s="104"/>
      <c r="ADE11" s="104"/>
      <c r="ADF11" s="104"/>
      <c r="ADG11" s="104"/>
      <c r="ADH11" s="104"/>
      <c r="ADI11" s="104"/>
      <c r="ADJ11" s="104"/>
      <c r="ADK11" s="104"/>
      <c r="ADL11" s="104"/>
      <c r="ADM11" s="104"/>
      <c r="ADN11" s="104"/>
      <c r="ADO11" s="104"/>
      <c r="ADP11" s="104"/>
      <c r="ADQ11" s="104"/>
      <c r="ADR11" s="104"/>
      <c r="ADS11" s="104"/>
      <c r="ADT11" s="104"/>
      <c r="ADU11" s="104"/>
      <c r="ADV11" s="104"/>
      <c r="ADW11" s="104"/>
      <c r="ADX11" s="104"/>
      <c r="ADY11" s="104"/>
      <c r="ADZ11" s="104"/>
      <c r="AEA11" s="104"/>
      <c r="AEB11" s="104"/>
      <c r="AEC11" s="104"/>
      <c r="AED11" s="104"/>
      <c r="AEE11" s="104"/>
      <c r="AEF11" s="104"/>
      <c r="AEG11" s="104"/>
      <c r="AEH11" s="104"/>
      <c r="AEI11" s="104"/>
      <c r="AEJ11" s="104"/>
      <c r="AEK11" s="104"/>
      <c r="AEL11" s="104"/>
      <c r="AEM11" s="104"/>
      <c r="AEN11" s="104"/>
      <c r="AEO11" s="104"/>
      <c r="AEP11" s="104"/>
      <c r="AEQ11" s="104"/>
      <c r="AER11" s="104"/>
      <c r="AES11" s="104"/>
      <c r="AET11" s="104"/>
      <c r="AEU11" s="104"/>
      <c r="AEV11" s="104"/>
      <c r="AEW11" s="104"/>
      <c r="AEX11" s="104"/>
      <c r="AEY11" s="104"/>
      <c r="AEZ11" s="104"/>
      <c r="AFA11" s="104"/>
      <c r="AFB11" s="104"/>
      <c r="AFC11" s="104"/>
      <c r="AFD11" s="104"/>
      <c r="AFE11" s="104"/>
      <c r="AFF11" s="104"/>
      <c r="AFG11" s="104"/>
      <c r="AFH11" s="104"/>
      <c r="AFI11" s="104"/>
      <c r="AFJ11" s="104"/>
      <c r="AFK11" s="104"/>
      <c r="AFL11" s="104"/>
      <c r="AFM11" s="104"/>
      <c r="AFN11" s="104"/>
      <c r="AFO11" s="104"/>
      <c r="AFP11" s="104"/>
      <c r="AFQ11" s="104"/>
      <c r="AFR11" s="104"/>
      <c r="AFS11" s="104"/>
      <c r="AFT11" s="104"/>
      <c r="AFU11" s="104"/>
      <c r="AFV11" s="104"/>
      <c r="AFW11" s="104"/>
      <c r="AFX11" s="104"/>
      <c r="AFY11" s="104"/>
      <c r="AFZ11" s="104"/>
      <c r="AGA11" s="104"/>
      <c r="AGB11" s="104"/>
      <c r="AGC11" s="104"/>
      <c r="AGD11" s="104"/>
      <c r="AGE11" s="104"/>
      <c r="AGF11" s="104"/>
      <c r="AGG11" s="104"/>
      <c r="AGH11" s="104"/>
      <c r="AGI11" s="104"/>
      <c r="AGJ11" s="104"/>
      <c r="AGK11" s="104"/>
      <c r="AGL11" s="104"/>
      <c r="AGM11" s="104"/>
      <c r="AGN11" s="104"/>
      <c r="AGO11" s="104"/>
      <c r="AGP11" s="104"/>
      <c r="AGQ11" s="104"/>
      <c r="AGR11" s="104"/>
      <c r="AGS11" s="104"/>
      <c r="AGT11" s="104"/>
      <c r="AGU11" s="104"/>
      <c r="AGV11" s="104"/>
      <c r="AGW11" s="104"/>
      <c r="AGX11" s="104"/>
      <c r="AGY11" s="104"/>
      <c r="AGZ11" s="104"/>
      <c r="AHA11" s="104"/>
      <c r="AHB11" s="104"/>
      <c r="AHC11" s="104"/>
      <c r="AHD11" s="104"/>
      <c r="AHE11" s="104"/>
      <c r="AHF11" s="104"/>
      <c r="AHG11" s="104"/>
      <c r="AHH11" s="104"/>
      <c r="AHI11" s="104"/>
      <c r="AHJ11" s="104"/>
      <c r="AHK11" s="104"/>
      <c r="AHL11" s="104"/>
      <c r="AHM11" s="104"/>
      <c r="AHN11" s="104"/>
      <c r="AHO11" s="104"/>
      <c r="AHP11" s="104"/>
      <c r="AHQ11" s="104"/>
      <c r="AHR11" s="104"/>
      <c r="AHS11" s="104"/>
      <c r="AHT11" s="104"/>
      <c r="AHU11" s="104"/>
      <c r="AHV11" s="104"/>
      <c r="AHW11" s="104"/>
      <c r="AHX11" s="104"/>
      <c r="AHY11" s="104"/>
      <c r="AHZ11" s="104"/>
      <c r="AIA11" s="104"/>
      <c r="AIB11" s="104"/>
      <c r="AIC11" s="104"/>
      <c r="AID11" s="104"/>
      <c r="AIE11" s="104"/>
      <c r="AIF11" s="104"/>
      <c r="AIG11" s="104"/>
      <c r="AIH11" s="104"/>
      <c r="AII11" s="104"/>
      <c r="AIJ11" s="104"/>
      <c r="AIK11" s="104"/>
      <c r="AIL11" s="104"/>
      <c r="AIM11" s="104"/>
      <c r="AIN11" s="104"/>
      <c r="AIO11" s="104"/>
      <c r="AIP11" s="104"/>
      <c r="AIQ11" s="104"/>
      <c r="AIR11" s="104"/>
      <c r="AIS11" s="104"/>
      <c r="AIT11" s="104"/>
      <c r="AIU11" s="104"/>
      <c r="AIV11" s="104"/>
      <c r="AIW11" s="104"/>
      <c r="AIX11" s="104"/>
      <c r="AIY11" s="104"/>
      <c r="AIZ11" s="104"/>
      <c r="AJA11" s="104"/>
      <c r="AJB11" s="104"/>
      <c r="AJC11" s="104"/>
      <c r="AJD11" s="104"/>
      <c r="AJE11" s="104"/>
      <c r="AJF11" s="104"/>
      <c r="AJG11" s="104"/>
      <c r="AJH11" s="104"/>
      <c r="AJI11" s="104"/>
      <c r="AJJ11" s="104"/>
      <c r="AJK11" s="104"/>
      <c r="AJL11" s="104"/>
      <c r="AJM11" s="104"/>
      <c r="AJN11" s="104"/>
      <c r="AJO11" s="104"/>
      <c r="AJP11" s="104"/>
      <c r="AJQ11" s="104"/>
      <c r="AJR11" s="104"/>
      <c r="AJS11" s="104"/>
      <c r="AJT11" s="104"/>
      <c r="AJU11" s="104"/>
      <c r="AJV11" s="104"/>
      <c r="AJW11" s="104"/>
      <c r="AJX11" s="104"/>
      <c r="AJY11" s="104"/>
      <c r="AJZ11" s="104"/>
      <c r="AKA11" s="104"/>
      <c r="AKB11" s="104"/>
      <c r="AKC11" s="104"/>
      <c r="AKD11" s="104"/>
      <c r="AKE11" s="104"/>
      <c r="AKF11" s="104"/>
      <c r="AKG11" s="104"/>
      <c r="AKH11" s="104"/>
      <c r="AKI11" s="104"/>
      <c r="AKJ11" s="104"/>
      <c r="AKK11" s="104"/>
      <c r="AKL11" s="104"/>
      <c r="AKM11" s="104"/>
      <c r="AKN11" s="104"/>
      <c r="AKO11" s="104"/>
      <c r="AKP11" s="104"/>
      <c r="AKQ11" s="104"/>
      <c r="AKR11" s="104"/>
      <c r="AKS11" s="104"/>
      <c r="AKT11" s="104"/>
      <c r="AKU11" s="104"/>
      <c r="AKV11" s="104"/>
      <c r="AKW11" s="104"/>
      <c r="AKX11" s="104"/>
      <c r="AKY11" s="104"/>
      <c r="AKZ11" s="104"/>
      <c r="ALA11" s="104"/>
      <c r="ALB11" s="104"/>
      <c r="ALC11" s="104"/>
      <c r="ALD11" s="104"/>
      <c r="ALE11" s="104"/>
      <c r="ALF11" s="104"/>
      <c r="ALG11" s="104"/>
      <c r="ALH11" s="104"/>
      <c r="ALI11" s="104"/>
      <c r="ALJ11" s="104"/>
      <c r="ALK11" s="104"/>
      <c r="ALL11" s="104"/>
      <c r="ALM11" s="104"/>
      <c r="ALN11" s="104"/>
      <c r="ALO11" s="104"/>
      <c r="ALP11" s="104"/>
      <c r="ALQ11" s="104"/>
      <c r="ALR11" s="104"/>
      <c r="ALS11" s="104"/>
      <c r="ALT11" s="104"/>
      <c r="ALU11" s="104"/>
      <c r="ALV11" s="104"/>
      <c r="ALW11" s="104"/>
      <c r="ALX11" s="104"/>
      <c r="ALY11" s="104"/>
      <c r="ALZ11" s="104"/>
      <c r="AMA11" s="104"/>
      <c r="AMB11" s="104"/>
      <c r="AMC11" s="104"/>
      <c r="AMD11" s="104"/>
      <c r="AME11" s="104"/>
      <c r="AMF11" s="104"/>
      <c r="AMG11" s="104"/>
      <c r="AMH11" s="104"/>
      <c r="AMI11" s="104"/>
      <c r="AMJ11" s="104"/>
      <c r="AMK11" s="104"/>
      <c r="AML11" s="104"/>
      <c r="AMM11" s="104"/>
      <c r="AMN11" s="104"/>
      <c r="AMO11" s="104"/>
      <c r="AMP11" s="104"/>
      <c r="AMQ11" s="104"/>
      <c r="AMR11" s="104"/>
      <c r="AMS11" s="104"/>
      <c r="AMT11" s="104"/>
      <c r="AMU11" s="104"/>
      <c r="AMV11" s="104"/>
      <c r="AMW11" s="104"/>
      <c r="AMX11" s="104"/>
      <c r="AMY11" s="104"/>
      <c r="AMZ11" s="104"/>
      <c r="ANA11" s="104"/>
      <c r="ANB11" s="104"/>
      <c r="ANC11" s="104"/>
      <c r="AND11" s="104"/>
      <c r="ANE11" s="104"/>
      <c r="ANF11" s="104"/>
      <c r="ANG11" s="104"/>
      <c r="ANH11" s="104"/>
      <c r="ANI11" s="104"/>
      <c r="ANJ11" s="104"/>
      <c r="ANK11" s="104"/>
      <c r="ANL11" s="104"/>
      <c r="ANM11" s="104"/>
      <c r="ANN11" s="104"/>
      <c r="ANO11" s="104"/>
      <c r="ANP11" s="104"/>
      <c r="ANQ11" s="104"/>
      <c r="ANR11" s="104"/>
      <c r="ANS11" s="104"/>
      <c r="ANT11" s="104"/>
      <c r="ANU11" s="104"/>
      <c r="ANV11" s="104"/>
      <c r="ANW11" s="104"/>
      <c r="ANX11" s="104"/>
      <c r="ANY11" s="104"/>
      <c r="ANZ11" s="104"/>
      <c r="AOA11" s="104"/>
      <c r="AOB11" s="104"/>
      <c r="AOC11" s="104"/>
      <c r="AOD11" s="104"/>
      <c r="AOE11" s="104"/>
      <c r="AOF11" s="104"/>
      <c r="AOG11" s="104"/>
      <c r="AOH11" s="104"/>
      <c r="AOI11" s="104"/>
      <c r="AOJ11" s="104"/>
      <c r="AOK11" s="104"/>
      <c r="AOL11" s="104"/>
      <c r="AOM11" s="104"/>
      <c r="AON11" s="104"/>
      <c r="AOO11" s="104"/>
      <c r="AOP11" s="104"/>
      <c r="AOQ11" s="104"/>
      <c r="AOR11" s="104"/>
      <c r="AOS11" s="104"/>
      <c r="AOT11" s="104"/>
      <c r="AOU11" s="104"/>
      <c r="AOV11" s="104"/>
      <c r="AOW11" s="104"/>
      <c r="AOX11" s="104"/>
      <c r="AOY11" s="104"/>
      <c r="AOZ11" s="104"/>
      <c r="APA11" s="104"/>
      <c r="APB11" s="104"/>
      <c r="APC11" s="104"/>
      <c r="APD11" s="104"/>
      <c r="APE11" s="104"/>
      <c r="APF11" s="104"/>
      <c r="APG11" s="104"/>
      <c r="APH11" s="104"/>
      <c r="API11" s="104"/>
      <c r="APJ11" s="104"/>
      <c r="APK11" s="104"/>
      <c r="APL11" s="104"/>
      <c r="APM11" s="104"/>
      <c r="APN11" s="104"/>
      <c r="APO11" s="104"/>
      <c r="APP11" s="104"/>
      <c r="APQ11" s="104"/>
      <c r="APR11" s="104"/>
      <c r="APS11" s="104"/>
      <c r="APT11" s="104"/>
      <c r="APU11" s="104"/>
      <c r="APV11" s="104"/>
      <c r="APW11" s="104"/>
      <c r="APX11" s="104"/>
      <c r="APY11" s="104"/>
      <c r="APZ11" s="104"/>
      <c r="AQA11" s="104"/>
      <c r="AQB11" s="104"/>
      <c r="AQC11" s="104"/>
      <c r="AQD11" s="104"/>
      <c r="AQE11" s="104"/>
      <c r="AQF11" s="104"/>
      <c r="AQG11" s="104"/>
      <c r="AQH11" s="104"/>
      <c r="AQI11" s="104"/>
      <c r="AQJ11" s="104"/>
      <c r="AQK11" s="104"/>
      <c r="AQL11" s="104"/>
      <c r="AQM11" s="104"/>
      <c r="AQN11" s="104"/>
      <c r="AQO11" s="104"/>
      <c r="AQP11" s="104"/>
      <c r="AQQ11" s="104"/>
      <c r="AQR11" s="104"/>
      <c r="AQS11" s="104"/>
      <c r="AQT11" s="104"/>
      <c r="AQU11" s="104"/>
      <c r="AQV11" s="104"/>
      <c r="AQW11" s="104"/>
      <c r="AQX11" s="104"/>
      <c r="AQY11" s="104"/>
      <c r="AQZ11" s="104"/>
      <c r="ARA11" s="104"/>
      <c r="ARB11" s="104"/>
      <c r="ARC11" s="104"/>
      <c r="ARD11" s="104"/>
      <c r="ARE11" s="104"/>
      <c r="ARF11" s="104"/>
      <c r="ARG11" s="104"/>
      <c r="ARH11" s="104"/>
      <c r="ARI11" s="104"/>
      <c r="ARJ11" s="104"/>
      <c r="ARK11" s="104"/>
      <c r="ARL11" s="104"/>
      <c r="ARM11" s="104"/>
      <c r="ARN11" s="104"/>
      <c r="ARO11" s="104"/>
      <c r="ARP11" s="104"/>
      <c r="ARQ11" s="104"/>
      <c r="ARR11" s="104"/>
      <c r="ARS11" s="104"/>
      <c r="ART11" s="104"/>
      <c r="ARU11" s="104"/>
      <c r="ARV11" s="104"/>
      <c r="ARW11" s="104"/>
      <c r="ARX11" s="104"/>
      <c r="ARY11" s="104"/>
      <c r="ARZ11" s="104"/>
      <c r="ASA11" s="104"/>
      <c r="ASB11" s="104"/>
      <c r="ASC11" s="104"/>
      <c r="ASD11" s="104"/>
      <c r="ASE11" s="104"/>
      <c r="ASF11" s="104"/>
      <c r="ASG11" s="104"/>
      <c r="ASH11" s="104"/>
      <c r="ASI11" s="104"/>
      <c r="ASJ11" s="104"/>
      <c r="ASK11" s="104"/>
      <c r="ASL11" s="104"/>
      <c r="ASM11" s="104"/>
      <c r="ASN11" s="104"/>
      <c r="ASO11" s="104"/>
      <c r="ASP11" s="104"/>
      <c r="ASQ11" s="104"/>
      <c r="ASR11" s="104"/>
      <c r="ASS11" s="104"/>
      <c r="AST11" s="104"/>
      <c r="ASU11" s="104"/>
      <c r="ASV11" s="104"/>
      <c r="ASW11" s="104"/>
      <c r="ASX11" s="104"/>
      <c r="ASY11" s="104"/>
      <c r="ASZ11" s="104"/>
      <c r="ATA11" s="104"/>
      <c r="ATB11" s="104"/>
      <c r="ATC11" s="104"/>
      <c r="ATD11" s="104"/>
      <c r="ATE11" s="104"/>
      <c r="ATF11" s="104"/>
      <c r="ATG11" s="104"/>
      <c r="ATH11" s="104"/>
      <c r="ATI11" s="104"/>
      <c r="ATJ11" s="104"/>
      <c r="ATK11" s="104"/>
      <c r="ATL11" s="104"/>
      <c r="ATM11" s="104"/>
      <c r="ATN11" s="104"/>
      <c r="ATO11" s="104"/>
      <c r="ATP11" s="104"/>
      <c r="ATQ11" s="104"/>
      <c r="ATR11" s="104"/>
      <c r="ATS11" s="104"/>
      <c r="ATT11" s="104"/>
      <c r="ATU11" s="104"/>
      <c r="ATV11" s="104"/>
      <c r="ATW11" s="104"/>
      <c r="ATX11" s="104"/>
      <c r="ATY11" s="104"/>
      <c r="ATZ11" s="104"/>
      <c r="AUA11" s="104"/>
      <c r="AUB11" s="104"/>
      <c r="AUC11" s="104"/>
      <c r="AUD11" s="104"/>
      <c r="AUE11" s="104"/>
      <c r="AUF11" s="104"/>
      <c r="AUG11" s="104"/>
      <c r="AUH11" s="104"/>
      <c r="AUI11" s="104"/>
      <c r="AUJ11" s="104"/>
      <c r="AUK11" s="104"/>
      <c r="AUL11" s="104"/>
      <c r="AUM11" s="104"/>
      <c r="AUN11" s="104"/>
      <c r="AUO11" s="104"/>
      <c r="AUP11" s="104"/>
      <c r="AUQ11" s="104"/>
      <c r="AUR11" s="104"/>
      <c r="AUS11" s="104"/>
      <c r="AUT11" s="104"/>
      <c r="AUU11" s="104"/>
      <c r="AUV11" s="104"/>
      <c r="AUW11" s="104"/>
      <c r="AUX11" s="104"/>
      <c r="AUY11" s="104"/>
      <c r="AUZ11" s="104"/>
      <c r="AVA11" s="104"/>
      <c r="AVB11" s="104"/>
      <c r="AVC11" s="104"/>
      <c r="AVD11" s="104"/>
      <c r="AVE11" s="104"/>
      <c r="AVF11" s="104"/>
      <c r="AVG11" s="104"/>
      <c r="AVH11" s="104"/>
      <c r="AVI11" s="104"/>
      <c r="AVJ11" s="104"/>
      <c r="AVK11" s="104"/>
      <c r="AVL11" s="104"/>
      <c r="AVM11" s="104"/>
      <c r="AVN11" s="104"/>
      <c r="AVO11" s="104"/>
      <c r="AVP11" s="104"/>
      <c r="AVQ11" s="104"/>
      <c r="AVR11" s="104"/>
      <c r="AVS11" s="104"/>
      <c r="AVT11" s="104"/>
      <c r="AVU11" s="104"/>
      <c r="AVV11" s="104"/>
      <c r="AVW11" s="104"/>
      <c r="AVX11" s="104"/>
      <c r="AVY11" s="104"/>
      <c r="AVZ11" s="104"/>
      <c r="AWA11" s="104"/>
      <c r="AWB11" s="104"/>
      <c r="AWC11" s="104"/>
      <c r="AWD11" s="104"/>
      <c r="AWE11" s="104"/>
      <c r="AWF11" s="104"/>
      <c r="AWG11" s="104"/>
      <c r="AWH11" s="104"/>
      <c r="AWI11" s="104"/>
      <c r="AWJ11" s="104"/>
      <c r="AWK11" s="104"/>
      <c r="AWL11" s="104"/>
      <c r="AWM11" s="104"/>
      <c r="AWN11" s="104"/>
      <c r="AWO11" s="104"/>
      <c r="AWP11" s="104"/>
      <c r="AWQ11" s="104"/>
      <c r="AWR11" s="104"/>
      <c r="AWS11" s="104"/>
      <c r="AWT11" s="104"/>
      <c r="AWU11" s="104"/>
      <c r="AWV11" s="104"/>
      <c r="AWW11" s="104"/>
      <c r="AWX11" s="104"/>
      <c r="AWY11" s="104"/>
      <c r="AWZ11" s="104"/>
      <c r="AXA11" s="104"/>
      <c r="AXB11" s="104"/>
      <c r="AXC11" s="104"/>
      <c r="AXD11" s="104"/>
      <c r="AXE11" s="104"/>
      <c r="AXF11" s="104"/>
      <c r="AXG11" s="104"/>
      <c r="AXH11" s="104"/>
      <c r="AXI11" s="104"/>
      <c r="AXJ11" s="104"/>
      <c r="AXK11" s="104"/>
      <c r="AXL11" s="104"/>
      <c r="AXM11" s="104"/>
      <c r="AXN11" s="104"/>
      <c r="AXO11" s="104"/>
      <c r="AXP11" s="104"/>
      <c r="AXQ11" s="104"/>
      <c r="AXR11" s="104"/>
      <c r="AXS11" s="104"/>
      <c r="AXT11" s="104"/>
      <c r="AXU11" s="104"/>
      <c r="AXV11" s="104"/>
      <c r="AXW11" s="104"/>
      <c r="AXX11" s="104"/>
      <c r="AXY11" s="104"/>
      <c r="AXZ11" s="104"/>
      <c r="AYA11" s="104"/>
      <c r="AYB11" s="104"/>
      <c r="AYC11" s="104"/>
      <c r="AYD11" s="104"/>
      <c r="AYE11" s="104"/>
      <c r="AYF11" s="104"/>
      <c r="AYG11" s="104"/>
      <c r="AYH11" s="104"/>
      <c r="AYI11" s="104"/>
      <c r="AYJ11" s="104"/>
      <c r="AYK11" s="104"/>
      <c r="AYL11" s="104"/>
      <c r="AYM11" s="104"/>
      <c r="AYN11" s="104"/>
      <c r="AYO11" s="104"/>
      <c r="AYP11" s="104"/>
      <c r="AYQ11" s="104"/>
      <c r="AYR11" s="104"/>
      <c r="AYS11" s="104"/>
      <c r="AYT11" s="104"/>
      <c r="AYU11" s="104"/>
      <c r="AYV11" s="104"/>
      <c r="AYW11" s="104"/>
      <c r="AYX11" s="104"/>
      <c r="AYY11" s="104"/>
      <c r="AYZ11" s="104"/>
      <c r="AZA11" s="104"/>
      <c r="AZB11" s="104"/>
      <c r="AZC11" s="104"/>
      <c r="AZD11" s="104"/>
      <c r="AZE11" s="104"/>
      <c r="AZF11" s="104"/>
      <c r="AZG11" s="104"/>
      <c r="AZH11" s="104"/>
      <c r="AZI11" s="104"/>
      <c r="AZJ11" s="104"/>
      <c r="AZK11" s="104"/>
      <c r="AZL11" s="104"/>
      <c r="AZM11" s="104"/>
      <c r="AZN11" s="104"/>
      <c r="AZO11" s="104"/>
      <c r="AZP11" s="104"/>
      <c r="AZQ11" s="104"/>
      <c r="AZR11" s="104"/>
      <c r="AZS11" s="104"/>
      <c r="AZT11" s="104"/>
      <c r="AZU11" s="104"/>
      <c r="AZV11" s="104"/>
      <c r="AZW11" s="104"/>
      <c r="AZX11" s="104"/>
      <c r="AZY11" s="104"/>
      <c r="AZZ11" s="104"/>
      <c r="BAA11" s="104"/>
      <c r="BAB11" s="104"/>
      <c r="BAC11" s="104"/>
      <c r="BAD11" s="104"/>
      <c r="BAE11" s="104"/>
      <c r="BAF11" s="104"/>
      <c r="BAG11" s="104"/>
      <c r="BAH11" s="104"/>
      <c r="BAI11" s="104"/>
      <c r="BAJ11" s="104"/>
      <c r="BAK11" s="104"/>
      <c r="BAL11" s="104"/>
      <c r="BAM11" s="104"/>
      <c r="BAN11" s="104"/>
      <c r="BAO11" s="104"/>
      <c r="BAP11" s="104"/>
      <c r="BAQ11" s="104"/>
      <c r="BAR11" s="104"/>
      <c r="BAS11" s="104"/>
      <c r="BAT11" s="104"/>
      <c r="BAU11" s="104"/>
      <c r="BAV11" s="104"/>
      <c r="BAW11" s="104"/>
      <c r="BAX11" s="104"/>
      <c r="BAY11" s="104"/>
      <c r="BAZ11" s="104"/>
      <c r="BBA11" s="104"/>
      <c r="BBB11" s="104"/>
      <c r="BBC11" s="104"/>
      <c r="BBD11" s="104"/>
      <c r="BBE11" s="104"/>
      <c r="BBF11" s="104"/>
      <c r="BBG11" s="104"/>
      <c r="BBH11" s="104"/>
      <c r="BBI11" s="104"/>
      <c r="BBJ11" s="104"/>
      <c r="BBK11" s="104"/>
      <c r="BBL11" s="104"/>
      <c r="BBM11" s="104"/>
      <c r="BBN11" s="104"/>
      <c r="BBO11" s="104"/>
      <c r="BBP11" s="104"/>
      <c r="BBQ11" s="104"/>
      <c r="BBR11" s="104"/>
      <c r="BBS11" s="104"/>
      <c r="BBT11" s="104"/>
      <c r="BBU11" s="104"/>
      <c r="BBV11" s="104"/>
      <c r="BBW11" s="104"/>
      <c r="BBX11" s="104"/>
      <c r="BBY11" s="104"/>
      <c r="BBZ11" s="104"/>
      <c r="BCA11" s="104"/>
      <c r="BCB11" s="104"/>
      <c r="BCC11" s="104"/>
      <c r="BCD11" s="104"/>
      <c r="BCE11" s="104"/>
      <c r="BCF11" s="104"/>
      <c r="BCG11" s="104"/>
      <c r="BCH11" s="104"/>
      <c r="BCI11" s="104"/>
      <c r="BCJ11" s="104"/>
      <c r="BCK11" s="104"/>
      <c r="BCL11" s="104"/>
      <c r="BCM11" s="104"/>
      <c r="BCN11" s="104"/>
      <c r="BCO11" s="104"/>
      <c r="BCP11" s="104"/>
      <c r="BCQ11" s="104"/>
      <c r="BCR11" s="104"/>
      <c r="BCS11" s="104"/>
      <c r="BCT11" s="104"/>
      <c r="BCU11" s="104"/>
      <c r="BCV11" s="104"/>
      <c r="BCW11" s="104"/>
      <c r="BCX11" s="104"/>
      <c r="BCY11" s="104"/>
      <c r="BCZ11" s="104"/>
      <c r="BDA11" s="104"/>
      <c r="BDB11" s="104"/>
      <c r="BDC11" s="104"/>
      <c r="BDD11" s="104"/>
      <c r="BDE11" s="104"/>
      <c r="BDF11" s="104"/>
      <c r="BDG11" s="104"/>
      <c r="BDH11" s="104"/>
      <c r="BDI11" s="104"/>
      <c r="BDJ11" s="104"/>
      <c r="BDK11" s="104"/>
      <c r="BDL11" s="104"/>
      <c r="BDM11" s="104"/>
      <c r="BDN11" s="104"/>
      <c r="BDO11" s="104"/>
      <c r="BDP11" s="104"/>
      <c r="BDQ11" s="104"/>
      <c r="BDR11" s="104"/>
      <c r="BDS11" s="104"/>
      <c r="BDT11" s="104"/>
      <c r="BDU11" s="104"/>
      <c r="BDV11" s="104"/>
      <c r="BDW11" s="104"/>
      <c r="BDX11" s="104"/>
      <c r="BDY11" s="104"/>
      <c r="BDZ11" s="104"/>
      <c r="BEA11" s="104"/>
      <c r="BEB11" s="104"/>
      <c r="BEC11" s="104"/>
      <c r="BED11" s="104"/>
      <c r="BEE11" s="104"/>
      <c r="BEF11" s="104"/>
      <c r="BEG11" s="104"/>
      <c r="BEH11" s="104"/>
      <c r="BEI11" s="104"/>
      <c r="BEJ11" s="104"/>
      <c r="BEK11" s="104"/>
      <c r="BEL11" s="104"/>
      <c r="BEM11" s="104"/>
      <c r="BEN11" s="104"/>
      <c r="BEO11" s="104"/>
      <c r="BEP11" s="104"/>
      <c r="BEQ11" s="104"/>
      <c r="BER11" s="104"/>
      <c r="BES11" s="104"/>
      <c r="BET11" s="104"/>
      <c r="BEU11" s="104"/>
      <c r="BEV11" s="104"/>
      <c r="BEW11" s="104"/>
      <c r="BEX11" s="104"/>
      <c r="BEY11" s="104"/>
      <c r="BEZ11" s="104"/>
      <c r="BFA11" s="104"/>
      <c r="BFB11" s="104"/>
      <c r="BFC11" s="104"/>
      <c r="BFD11" s="104"/>
      <c r="BFE11" s="104"/>
      <c r="BFF11" s="104"/>
      <c r="BFG11" s="104"/>
      <c r="BFH11" s="104"/>
      <c r="BFI11" s="104"/>
      <c r="BFJ11" s="104"/>
      <c r="BFK11" s="104"/>
      <c r="BFL11" s="104"/>
      <c r="BFM11" s="104"/>
      <c r="BFN11" s="104"/>
      <c r="BFO11" s="104"/>
      <c r="BFP11" s="104"/>
      <c r="BFQ11" s="104"/>
      <c r="BFR11" s="104"/>
      <c r="BFS11" s="104"/>
      <c r="BFT11" s="104"/>
      <c r="BFU11" s="104"/>
      <c r="BFV11" s="104"/>
      <c r="BFW11" s="104"/>
      <c r="BFX11" s="104"/>
      <c r="BFY11" s="104"/>
      <c r="BFZ11" s="104"/>
      <c r="BGA11" s="104"/>
      <c r="BGB11" s="104"/>
      <c r="BGC11" s="104"/>
      <c r="BGD11" s="104"/>
      <c r="BGE11" s="104"/>
      <c r="BGF11" s="104"/>
      <c r="BGG11" s="104"/>
      <c r="BGH11" s="104"/>
      <c r="BGI11" s="104"/>
      <c r="BGJ11" s="104"/>
      <c r="BGK11" s="104"/>
      <c r="BGL11" s="104"/>
      <c r="BGM11" s="104"/>
      <c r="BGN11" s="104"/>
      <c r="BGO11" s="104"/>
      <c r="BGP11" s="104"/>
      <c r="BGQ11" s="104"/>
      <c r="BGR11" s="104"/>
      <c r="BGS11" s="104"/>
      <c r="BGT11" s="104"/>
      <c r="BGU11" s="104"/>
      <c r="BGV11" s="104"/>
      <c r="BGW11" s="104"/>
      <c r="BGX11" s="104"/>
      <c r="BGY11" s="104"/>
      <c r="BGZ11" s="104"/>
      <c r="BHA11" s="104"/>
      <c r="BHB11" s="104"/>
      <c r="BHC11" s="104"/>
      <c r="BHD11" s="104"/>
      <c r="BHE11" s="104"/>
      <c r="BHF11" s="104"/>
      <c r="BHG11" s="104"/>
      <c r="BHH11" s="104"/>
      <c r="BHI11" s="104"/>
      <c r="BHJ11" s="104"/>
      <c r="BHK11" s="104"/>
      <c r="BHL11" s="104"/>
      <c r="BHM11" s="104"/>
      <c r="BHN11" s="104"/>
      <c r="BHO11" s="104"/>
      <c r="BHP11" s="104"/>
      <c r="BHQ11" s="104"/>
      <c r="BHR11" s="104"/>
      <c r="BHS11" s="104"/>
      <c r="BHT11" s="104"/>
      <c r="BHU11" s="104"/>
      <c r="BHV11" s="104"/>
      <c r="BHW11" s="104"/>
      <c r="BHX11" s="104"/>
      <c r="BHY11" s="104"/>
      <c r="BHZ11" s="104"/>
      <c r="BIA11" s="104"/>
      <c r="BIB11" s="104"/>
      <c r="BIC11" s="104"/>
      <c r="BID11" s="104"/>
      <c r="BIE11" s="104"/>
      <c r="BIF11" s="104"/>
      <c r="BIG11" s="104"/>
      <c r="BIH11" s="104"/>
      <c r="BII11" s="104"/>
      <c r="BIJ11" s="104"/>
      <c r="BIK11" s="104"/>
      <c r="BIL11" s="104"/>
      <c r="BIM11" s="104"/>
      <c r="BIN11" s="104"/>
      <c r="BIO11" s="104"/>
      <c r="BIP11" s="104"/>
      <c r="BIQ11" s="104"/>
      <c r="BIR11" s="104"/>
      <c r="BIS11" s="104"/>
      <c r="BIT11" s="104"/>
      <c r="BIU11" s="104"/>
      <c r="BIV11" s="104"/>
      <c r="BIW11" s="104"/>
      <c r="BIX11" s="104"/>
      <c r="BIY11" s="104"/>
      <c r="BIZ11" s="104"/>
      <c r="BJA11" s="104"/>
      <c r="BJB11" s="104"/>
      <c r="BJC11" s="104"/>
      <c r="BJD11" s="104"/>
      <c r="BJE11" s="104"/>
      <c r="BJF11" s="104"/>
      <c r="BJG11" s="104"/>
      <c r="BJH11" s="104"/>
      <c r="BJI11" s="104"/>
      <c r="BJJ11" s="104"/>
      <c r="BJK11" s="104"/>
      <c r="BJL11" s="104"/>
      <c r="BJM11" s="104"/>
      <c r="BJN11" s="104"/>
      <c r="BJO11" s="104"/>
      <c r="BJP11" s="104"/>
      <c r="BJQ11" s="104"/>
      <c r="BJR11" s="104"/>
      <c r="BJS11" s="104"/>
      <c r="BJT11" s="104"/>
      <c r="BJU11" s="104"/>
      <c r="BJV11" s="104"/>
      <c r="BJW11" s="104"/>
      <c r="BJX11" s="104"/>
      <c r="BJY11" s="104"/>
      <c r="BJZ11" s="104"/>
      <c r="BKA11" s="104"/>
      <c r="BKB11" s="104"/>
      <c r="BKC11" s="104"/>
      <c r="BKD11" s="104"/>
      <c r="BKE11" s="104"/>
      <c r="BKF11" s="104"/>
      <c r="BKG11" s="104"/>
      <c r="BKH11" s="104"/>
      <c r="BKI11" s="104"/>
      <c r="BKJ11" s="104"/>
      <c r="BKK11" s="104"/>
      <c r="BKL11" s="104"/>
      <c r="BKM11" s="104"/>
      <c r="BKN11" s="104"/>
      <c r="BKO11" s="104"/>
      <c r="BKP11" s="104"/>
      <c r="BKQ11" s="104"/>
      <c r="BKR11" s="104"/>
      <c r="BKS11" s="104"/>
      <c r="BKT11" s="104"/>
      <c r="BKU11" s="104"/>
      <c r="BKV11" s="104"/>
      <c r="BKW11" s="104"/>
      <c r="BKX11" s="104"/>
      <c r="BKY11" s="104"/>
      <c r="BKZ11" s="104"/>
      <c r="BLA11" s="104"/>
      <c r="BLB11" s="104"/>
      <c r="BLC11" s="104"/>
      <c r="BLD11" s="104"/>
      <c r="BLE11" s="104"/>
      <c r="BLF11" s="104"/>
      <c r="BLG11" s="104"/>
      <c r="BLH11" s="104"/>
      <c r="BLI11" s="104"/>
      <c r="BLJ11" s="104"/>
      <c r="BLK11" s="104"/>
      <c r="BLL11" s="104"/>
      <c r="BLM11" s="104"/>
      <c r="BLN11" s="104"/>
      <c r="BLO11" s="104"/>
      <c r="BLP11" s="104"/>
      <c r="BLQ11" s="104"/>
      <c r="BLR11" s="104"/>
      <c r="BLS11" s="104"/>
      <c r="BLT11" s="104"/>
      <c r="BLU11" s="104"/>
      <c r="BLV11" s="104"/>
      <c r="BLW11" s="104"/>
      <c r="BLX11" s="104"/>
      <c r="BLY11" s="104"/>
      <c r="BLZ11" s="104"/>
      <c r="BMA11" s="104"/>
      <c r="BMB11" s="104"/>
      <c r="BMC11" s="104"/>
      <c r="BMD11" s="104"/>
      <c r="BME11" s="104"/>
      <c r="BMF11" s="104"/>
      <c r="BMG11" s="104"/>
      <c r="BMH11" s="104"/>
      <c r="BMI11" s="104"/>
      <c r="BMJ11" s="104"/>
      <c r="BMK11" s="104"/>
      <c r="BML11" s="104"/>
      <c r="BMM11" s="104"/>
      <c r="BMN11" s="104"/>
      <c r="BMO11" s="104"/>
      <c r="BMP11" s="104"/>
      <c r="BMQ11" s="104"/>
      <c r="BMR11" s="104"/>
      <c r="BMS11" s="104"/>
      <c r="BMT11" s="104"/>
      <c r="BMU11" s="104"/>
      <c r="BMV11" s="104"/>
      <c r="BMW11" s="104"/>
      <c r="BMX11" s="104"/>
      <c r="BMY11" s="104"/>
      <c r="BMZ11" s="104"/>
      <c r="BNA11" s="104"/>
      <c r="BNB11" s="104"/>
      <c r="BNC11" s="104"/>
      <c r="BND11" s="104"/>
      <c r="BNE11" s="104"/>
      <c r="BNF11" s="104"/>
      <c r="BNG11" s="104"/>
      <c r="BNH11" s="104"/>
      <c r="BNI11" s="104"/>
      <c r="BNJ11" s="104"/>
      <c r="BNK11" s="104"/>
      <c r="BNL11" s="104"/>
      <c r="BNM11" s="104"/>
      <c r="BNN11" s="104"/>
      <c r="BNO11" s="104"/>
      <c r="BNP11" s="104"/>
      <c r="BNQ11" s="104"/>
      <c r="BNR11" s="104"/>
      <c r="BNS11" s="104"/>
      <c r="BNT11" s="104"/>
      <c r="BNU11" s="104"/>
      <c r="BNV11" s="104"/>
      <c r="BNW11" s="104"/>
      <c r="BNX11" s="104"/>
      <c r="BNY11" s="104"/>
      <c r="BNZ11" s="104"/>
      <c r="BOA11" s="104"/>
      <c r="BOB11" s="104"/>
      <c r="BOC11" s="104"/>
      <c r="BOD11" s="104"/>
      <c r="BOE11" s="104"/>
      <c r="BOF11" s="104"/>
      <c r="BOG11" s="104"/>
      <c r="BOH11" s="104"/>
      <c r="BOI11" s="104"/>
      <c r="BOJ11" s="104"/>
      <c r="BOK11" s="104"/>
      <c r="BOL11" s="104"/>
      <c r="BOM11" s="104"/>
      <c r="BON11" s="104"/>
      <c r="BOO11" s="104"/>
      <c r="BOP11" s="104"/>
      <c r="BOQ11" s="104"/>
      <c r="BOR11" s="104"/>
      <c r="BOS11" s="104"/>
      <c r="BOT11" s="104"/>
      <c r="BOU11" s="104"/>
      <c r="BOV11" s="104"/>
      <c r="BOW11" s="104"/>
      <c r="BOX11" s="104"/>
      <c r="BOY11" s="104"/>
      <c r="BOZ11" s="104"/>
      <c r="BPA11" s="104"/>
      <c r="BPB11" s="104"/>
      <c r="BPC11" s="104"/>
      <c r="BPD11" s="104"/>
      <c r="BPE11" s="104"/>
      <c r="BPF11" s="104"/>
      <c r="BPG11" s="104"/>
      <c r="BPH11" s="104"/>
      <c r="BPI11" s="104"/>
      <c r="BPJ11" s="104"/>
      <c r="BPK11" s="104"/>
      <c r="BPL11" s="104"/>
      <c r="BPM11" s="104"/>
      <c r="BPN11" s="104"/>
      <c r="BPO11" s="104"/>
      <c r="BPP11" s="104"/>
      <c r="BPQ11" s="104"/>
      <c r="BPR11" s="104"/>
      <c r="BPS11" s="104"/>
      <c r="BPT11" s="104"/>
      <c r="BPU11" s="104"/>
      <c r="BPV11" s="104"/>
      <c r="BPW11" s="104"/>
      <c r="BPX11" s="104"/>
      <c r="BPY11" s="104"/>
      <c r="BPZ11" s="104"/>
      <c r="BQA11" s="104"/>
      <c r="BQB11" s="104"/>
      <c r="BQC11" s="104"/>
      <c r="BQD11" s="104"/>
      <c r="BQE11" s="104"/>
      <c r="BQF11" s="104"/>
      <c r="BQG11" s="104"/>
      <c r="BQH11" s="104"/>
      <c r="BQI11" s="104"/>
      <c r="BQJ11" s="104"/>
      <c r="BQK11" s="104"/>
      <c r="BQL11" s="104"/>
      <c r="BQM11" s="104"/>
      <c r="BQN11" s="104"/>
      <c r="BQO11" s="104"/>
      <c r="BQP11" s="104"/>
      <c r="BQQ11" s="104"/>
      <c r="BQR11" s="104"/>
      <c r="BQS11" s="104"/>
      <c r="BQT11" s="104"/>
      <c r="BQU11" s="104"/>
      <c r="BQV11" s="104"/>
      <c r="BQW11" s="104"/>
      <c r="BQX11" s="104"/>
      <c r="BQY11" s="104"/>
      <c r="BQZ11" s="104"/>
      <c r="BRA11" s="104"/>
      <c r="BRB11" s="104"/>
      <c r="BRC11" s="104"/>
      <c r="BRD11" s="104"/>
      <c r="BRE11" s="104"/>
      <c r="BRF11" s="104"/>
      <c r="BRG11" s="104"/>
      <c r="BRH11" s="104"/>
      <c r="BRI11" s="104"/>
      <c r="BRJ11" s="104"/>
      <c r="BRK11" s="104"/>
      <c r="BRL11" s="104"/>
      <c r="BRM11" s="104"/>
      <c r="BRN11" s="104"/>
      <c r="BRO11" s="104"/>
      <c r="BRP11" s="104"/>
      <c r="BRQ11" s="104"/>
      <c r="BRR11" s="104"/>
      <c r="BRS11" s="104"/>
      <c r="BRT11" s="104"/>
      <c r="BRU11" s="104"/>
      <c r="BRV11" s="104"/>
      <c r="BRW11" s="104"/>
      <c r="BRX11" s="104"/>
      <c r="BRY11" s="104"/>
      <c r="BRZ11" s="104"/>
      <c r="BSA11" s="104"/>
      <c r="BSB11" s="104"/>
      <c r="BSC11" s="104"/>
      <c r="BSD11" s="104"/>
      <c r="BSE11" s="104"/>
      <c r="BSF11" s="104"/>
      <c r="BSG11" s="104"/>
      <c r="BSH11" s="104"/>
      <c r="BSI11" s="104"/>
      <c r="BSJ11" s="104"/>
      <c r="BSK11" s="104"/>
      <c r="BSL11" s="104"/>
      <c r="BSM11" s="104"/>
      <c r="BSN11" s="104"/>
      <c r="BSO11" s="104"/>
      <c r="BSP11" s="104"/>
      <c r="BSQ11" s="104"/>
      <c r="BSR11" s="104"/>
      <c r="BSS11" s="104"/>
      <c r="BST11" s="104"/>
      <c r="BSU11" s="104"/>
      <c r="BSV11" s="104"/>
      <c r="BSW11" s="104"/>
      <c r="BSX11" s="104"/>
      <c r="BSY11" s="104"/>
      <c r="BSZ11" s="104"/>
      <c r="BTA11" s="104"/>
      <c r="BTB11" s="104"/>
      <c r="BTC11" s="104"/>
      <c r="BTD11" s="104"/>
      <c r="BTE11" s="104"/>
      <c r="BTF11" s="104"/>
      <c r="BTG11" s="104"/>
      <c r="BTH11" s="104"/>
      <c r="BTI11" s="104"/>
      <c r="BTJ11" s="104"/>
      <c r="BTK11" s="104"/>
      <c r="BTL11" s="104"/>
      <c r="BTM11" s="104"/>
      <c r="BTN11" s="104"/>
      <c r="BTO11" s="104"/>
      <c r="BTP11" s="104"/>
      <c r="BTQ11" s="104"/>
      <c r="BTR11" s="104"/>
      <c r="BTS11" s="104"/>
      <c r="BTT11" s="104"/>
      <c r="BTU11" s="104"/>
      <c r="BTV11" s="104"/>
      <c r="BTW11" s="104"/>
      <c r="BTX11" s="104"/>
      <c r="BTY11" s="104"/>
      <c r="BTZ11" s="104"/>
      <c r="BUA11" s="104"/>
      <c r="BUB11" s="104"/>
      <c r="BUC11" s="104"/>
      <c r="BUD11" s="104"/>
      <c r="BUE11" s="104"/>
      <c r="BUF11" s="104"/>
      <c r="BUG11" s="104"/>
      <c r="BUH11" s="104"/>
      <c r="BUI11" s="104"/>
      <c r="BUJ11" s="104"/>
      <c r="BUK11" s="104"/>
      <c r="BUL11" s="104"/>
      <c r="BUM11" s="104"/>
      <c r="BUN11" s="104"/>
      <c r="BUO11" s="104"/>
      <c r="BUP11" s="104"/>
      <c r="BUQ11" s="104"/>
      <c r="BUR11" s="104"/>
      <c r="BUS11" s="104"/>
      <c r="BUT11" s="104"/>
      <c r="BUU11" s="104"/>
      <c r="BUV11" s="104"/>
      <c r="BUW11" s="104"/>
      <c r="BUX11" s="104"/>
      <c r="BUY11" s="104"/>
      <c r="BUZ11" s="104"/>
      <c r="BVA11" s="104"/>
      <c r="BVB11" s="104"/>
      <c r="BVC11" s="104"/>
      <c r="BVD11" s="104"/>
      <c r="BVE11" s="104"/>
      <c r="BVF11" s="104"/>
      <c r="BVG11" s="104"/>
      <c r="BVH11" s="104"/>
      <c r="BVI11" s="104"/>
      <c r="BVJ11" s="104"/>
      <c r="BVK11" s="104"/>
      <c r="BVL11" s="104"/>
      <c r="BVM11" s="104"/>
      <c r="BVN11" s="104"/>
      <c r="BVO11" s="104"/>
      <c r="BVP11" s="104"/>
      <c r="BVQ11" s="104"/>
      <c r="BVR11" s="104"/>
      <c r="BVS11" s="104"/>
      <c r="BVT11" s="104"/>
      <c r="BVU11" s="104"/>
      <c r="BVV11" s="104"/>
      <c r="BVW11" s="104"/>
      <c r="BVX11" s="104"/>
      <c r="BVY11" s="104"/>
      <c r="BVZ11" s="104"/>
      <c r="BWA11" s="104"/>
      <c r="BWB11" s="104"/>
      <c r="BWC11" s="104"/>
      <c r="BWD11" s="104"/>
      <c r="BWE11" s="104"/>
      <c r="BWF11" s="104"/>
      <c r="BWG11" s="104"/>
      <c r="BWH11" s="104"/>
      <c r="BWI11" s="104"/>
      <c r="BWJ11" s="104"/>
      <c r="BWK11" s="104"/>
      <c r="BWL11" s="104"/>
      <c r="BWM11" s="104"/>
      <c r="BWN11" s="104"/>
      <c r="BWO11" s="104"/>
      <c r="BWP11" s="104"/>
      <c r="BWQ11" s="104"/>
      <c r="BWR11" s="104"/>
      <c r="BWS11" s="104"/>
      <c r="BWT11" s="104"/>
      <c r="BWU11" s="104"/>
      <c r="BWV11" s="104"/>
      <c r="BWW11" s="104"/>
      <c r="BWX11" s="104"/>
      <c r="BWY11" s="104"/>
      <c r="BWZ11" s="104"/>
      <c r="BXA11" s="104"/>
      <c r="BXB11" s="104"/>
      <c r="BXC11" s="104"/>
      <c r="BXD11" s="104"/>
      <c r="BXE11" s="104"/>
      <c r="BXF11" s="104"/>
      <c r="BXG11" s="104"/>
      <c r="BXH11" s="104"/>
      <c r="BXI11" s="104"/>
      <c r="BXJ11" s="104"/>
      <c r="BXK11" s="104"/>
      <c r="BXL11" s="104"/>
      <c r="BXM11" s="104"/>
      <c r="BXN11" s="104"/>
      <c r="BXO11" s="104"/>
      <c r="BXP11" s="104"/>
      <c r="BXQ11" s="104"/>
      <c r="BXR11" s="104"/>
      <c r="BXS11" s="104"/>
      <c r="BXT11" s="104"/>
      <c r="BXU11" s="104"/>
      <c r="BXV11" s="104"/>
      <c r="BXW11" s="104"/>
      <c r="BXX11" s="104"/>
      <c r="BXY11" s="104"/>
      <c r="BXZ11" s="104"/>
      <c r="BYA11" s="104"/>
      <c r="BYB11" s="104"/>
      <c r="BYC11" s="104"/>
      <c r="BYD11" s="104"/>
      <c r="BYE11" s="104"/>
      <c r="BYF11" s="104"/>
      <c r="BYG11" s="104"/>
      <c r="BYH11" s="104"/>
      <c r="BYI11" s="104"/>
      <c r="BYJ11" s="104"/>
      <c r="BYK11" s="104"/>
      <c r="BYL11" s="104"/>
      <c r="BYM11" s="104"/>
      <c r="BYN11" s="104"/>
      <c r="BYO11" s="104"/>
      <c r="BYP11" s="104"/>
      <c r="BYQ11" s="104"/>
      <c r="BYR11" s="104"/>
      <c r="BYS11" s="104"/>
      <c r="BYT11" s="104"/>
      <c r="BYU11" s="104"/>
      <c r="BYV11" s="104"/>
      <c r="BYW11" s="104"/>
      <c r="BYX11" s="104"/>
      <c r="BYY11" s="104"/>
      <c r="BYZ11" s="104"/>
      <c r="BZA11" s="104"/>
      <c r="BZB11" s="104"/>
      <c r="BZC11" s="104"/>
      <c r="BZD11" s="104"/>
      <c r="BZE11" s="104"/>
      <c r="BZF11" s="104"/>
      <c r="BZG11" s="104"/>
      <c r="BZH11" s="104"/>
      <c r="BZI11" s="104"/>
      <c r="BZJ11" s="104"/>
      <c r="BZK11" s="104"/>
      <c r="BZL11" s="104"/>
      <c r="BZM11" s="104"/>
      <c r="BZN11" s="104"/>
      <c r="BZO11" s="104"/>
      <c r="BZP11" s="104"/>
      <c r="BZQ11" s="104"/>
      <c r="BZR11" s="104"/>
      <c r="BZS11" s="104"/>
      <c r="BZT11" s="104"/>
      <c r="BZU11" s="104"/>
      <c r="BZV11" s="104"/>
      <c r="BZW11" s="104"/>
      <c r="BZX11" s="104"/>
      <c r="BZY11" s="104"/>
      <c r="BZZ11" s="104"/>
      <c r="CAA11" s="104"/>
      <c r="CAB11" s="104"/>
      <c r="CAC11" s="104"/>
      <c r="CAD11" s="104"/>
      <c r="CAE11" s="104"/>
      <c r="CAF11" s="104"/>
      <c r="CAG11" s="104"/>
      <c r="CAH11" s="104"/>
      <c r="CAI11" s="104"/>
      <c r="CAJ11" s="104"/>
      <c r="CAK11" s="104"/>
      <c r="CAL11" s="104"/>
      <c r="CAM11" s="104"/>
      <c r="CAN11" s="104"/>
      <c r="CAO11" s="104"/>
      <c r="CAP11" s="104"/>
      <c r="CAQ11" s="104"/>
      <c r="CAR11" s="104"/>
      <c r="CAS11" s="104"/>
      <c r="CAT11" s="104"/>
      <c r="CAU11" s="104"/>
      <c r="CAV11" s="104"/>
      <c r="CAW11" s="104"/>
      <c r="CAX11" s="104"/>
      <c r="CAY11" s="104"/>
      <c r="CAZ11" s="104"/>
      <c r="CBA11" s="104"/>
      <c r="CBB11" s="104"/>
      <c r="CBC11" s="104"/>
      <c r="CBD11" s="104"/>
      <c r="CBE11" s="104"/>
      <c r="CBF11" s="104"/>
      <c r="CBG11" s="104"/>
      <c r="CBH11" s="104"/>
      <c r="CBI11" s="104"/>
      <c r="CBJ11" s="104"/>
      <c r="CBK11" s="104"/>
      <c r="CBL11" s="104"/>
      <c r="CBM11" s="104"/>
      <c r="CBN11" s="104"/>
      <c r="CBO11" s="104"/>
      <c r="CBP11" s="104"/>
      <c r="CBQ11" s="104"/>
      <c r="CBR11" s="104"/>
      <c r="CBS11" s="104"/>
      <c r="CBT11" s="104"/>
      <c r="CBU11" s="104"/>
      <c r="CBV11" s="104"/>
      <c r="CBW11" s="104"/>
      <c r="CBX11" s="104"/>
      <c r="CBY11" s="104"/>
      <c r="CBZ11" s="104"/>
      <c r="CCA11" s="104"/>
      <c r="CCB11" s="104"/>
      <c r="CCC11" s="104"/>
      <c r="CCD11" s="104"/>
      <c r="CCE11" s="104"/>
      <c r="CCF11" s="104"/>
      <c r="CCG11" s="104"/>
      <c r="CCH11" s="104"/>
      <c r="CCI11" s="104"/>
      <c r="CCJ11" s="104"/>
      <c r="CCK11" s="104"/>
      <c r="CCL11" s="104"/>
      <c r="CCM11" s="104"/>
      <c r="CCN11" s="104"/>
      <c r="CCO11" s="104"/>
      <c r="CCP11" s="104"/>
      <c r="CCQ11" s="104"/>
      <c r="CCR11" s="104"/>
      <c r="CCS11" s="104"/>
      <c r="CCT11" s="104"/>
      <c r="CCU11" s="104"/>
      <c r="CCV11" s="104"/>
      <c r="CCW11" s="104"/>
      <c r="CCX11" s="104"/>
      <c r="CCY11" s="104"/>
      <c r="CCZ11" s="104"/>
      <c r="CDA11" s="104"/>
      <c r="CDB11" s="104"/>
      <c r="CDC11" s="104"/>
      <c r="CDD11" s="104"/>
      <c r="CDE11" s="104"/>
      <c r="CDF11" s="104"/>
      <c r="CDG11" s="104"/>
      <c r="CDH11" s="104"/>
      <c r="CDI11" s="104"/>
      <c r="CDJ11" s="104"/>
      <c r="CDK11" s="104"/>
      <c r="CDL11" s="104"/>
      <c r="CDM11" s="104"/>
      <c r="CDN11" s="104"/>
      <c r="CDO11" s="104"/>
      <c r="CDP11" s="104"/>
      <c r="CDQ11" s="104"/>
      <c r="CDR11" s="104"/>
      <c r="CDS11" s="104"/>
      <c r="CDT11" s="104"/>
      <c r="CDU11" s="104"/>
      <c r="CDV11" s="104"/>
      <c r="CDW11" s="104"/>
      <c r="CDX11" s="104"/>
      <c r="CDY11" s="104"/>
      <c r="CDZ11" s="104"/>
      <c r="CEA11" s="104"/>
      <c r="CEB11" s="104"/>
      <c r="CEC11" s="104"/>
      <c r="CED11" s="104"/>
      <c r="CEE11" s="104"/>
      <c r="CEF11" s="104"/>
      <c r="CEG11" s="104"/>
      <c r="CEH11" s="104"/>
      <c r="CEI11" s="104"/>
      <c r="CEJ11" s="104"/>
      <c r="CEK11" s="104"/>
    </row>
    <row r="12" spans="1:2169" s="120" customFormat="1" ht="96" customHeight="1" thickBot="1">
      <c r="A12" s="139"/>
      <c r="B12" s="140"/>
      <c r="C12" s="148"/>
      <c r="D12" s="301" t="s">
        <v>55</v>
      </c>
      <c r="E12" s="149" t="s">
        <v>497</v>
      </c>
      <c r="F12" s="150" t="s">
        <v>261</v>
      </c>
      <c r="G12" s="151" t="s">
        <v>498</v>
      </c>
      <c r="H12" s="152" t="s">
        <v>39</v>
      </c>
      <c r="I12" s="145"/>
      <c r="J12" s="265"/>
      <c r="K12" s="146" t="s">
        <v>38</v>
      </c>
      <c r="L12" s="147"/>
      <c r="M12" s="266"/>
      <c r="N12" s="267"/>
      <c r="O12" s="267"/>
      <c r="P12" s="109"/>
      <c r="Q12" s="109"/>
      <c r="R12" s="109"/>
      <c r="S12" s="109"/>
      <c r="T12" s="109"/>
      <c r="U12" s="109"/>
      <c r="V12" s="109"/>
      <c r="W12" s="109"/>
      <c r="X12" s="109"/>
      <c r="Y12" s="109"/>
      <c r="Z12" s="109"/>
      <c r="AA12" s="109"/>
      <c r="AB12" s="109"/>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c r="IV12" s="104"/>
      <c r="IW12" s="104"/>
      <c r="IX12" s="104"/>
      <c r="IY12" s="104"/>
      <c r="IZ12" s="104"/>
      <c r="JA12" s="104"/>
      <c r="JB12" s="104"/>
      <c r="JC12" s="104"/>
      <c r="JD12" s="104"/>
      <c r="JE12" s="104"/>
      <c r="JF12" s="104"/>
      <c r="JG12" s="104"/>
      <c r="JH12" s="104"/>
      <c r="JI12" s="104"/>
      <c r="JJ12" s="104"/>
      <c r="JK12" s="104"/>
      <c r="JL12" s="104"/>
      <c r="JM12" s="104"/>
      <c r="JN12" s="104"/>
      <c r="JO12" s="104"/>
      <c r="JP12" s="104"/>
      <c r="JQ12" s="104"/>
      <c r="JR12" s="104"/>
      <c r="JS12" s="104"/>
      <c r="JT12" s="104"/>
      <c r="JU12" s="104"/>
      <c r="JV12" s="104"/>
      <c r="JW12" s="104"/>
      <c r="JX12" s="104"/>
      <c r="JY12" s="104"/>
      <c r="JZ12" s="104"/>
      <c r="KA12" s="104"/>
      <c r="KB12" s="104"/>
      <c r="KC12" s="104"/>
      <c r="KD12" s="104"/>
      <c r="KE12" s="104"/>
      <c r="KF12" s="104"/>
      <c r="KG12" s="104"/>
      <c r="KH12" s="104"/>
      <c r="KI12" s="104"/>
      <c r="KJ12" s="104"/>
      <c r="KK12" s="104"/>
      <c r="KL12" s="104"/>
      <c r="KM12" s="104"/>
      <c r="KN12" s="104"/>
      <c r="KO12" s="104"/>
      <c r="KP12" s="104"/>
      <c r="KQ12" s="104"/>
      <c r="KR12" s="104"/>
      <c r="KS12" s="104"/>
      <c r="KT12" s="104"/>
      <c r="KU12" s="104"/>
      <c r="KV12" s="104"/>
      <c r="KW12" s="104"/>
      <c r="KX12" s="104"/>
      <c r="KY12" s="104"/>
      <c r="KZ12" s="104"/>
      <c r="LA12" s="104"/>
      <c r="LB12" s="104"/>
      <c r="LC12" s="104"/>
      <c r="LD12" s="104"/>
      <c r="LE12" s="104"/>
      <c r="LF12" s="104"/>
      <c r="LG12" s="104"/>
      <c r="LH12" s="104"/>
      <c r="LI12" s="104"/>
      <c r="LJ12" s="104"/>
      <c r="LK12" s="104"/>
      <c r="LL12" s="104"/>
      <c r="LM12" s="104"/>
      <c r="LN12" s="104"/>
      <c r="LO12" s="104"/>
      <c r="LP12" s="104"/>
      <c r="LQ12" s="104"/>
      <c r="LR12" s="104"/>
      <c r="LS12" s="104"/>
      <c r="LT12" s="104"/>
      <c r="LU12" s="104"/>
      <c r="LV12" s="104"/>
      <c r="LW12" s="104"/>
      <c r="LX12" s="104"/>
      <c r="LY12" s="104"/>
      <c r="LZ12" s="104"/>
      <c r="MA12" s="104"/>
      <c r="MB12" s="104"/>
      <c r="MC12" s="104"/>
      <c r="MD12" s="104"/>
      <c r="ME12" s="104"/>
      <c r="MF12" s="104"/>
      <c r="MG12" s="104"/>
      <c r="MH12" s="104"/>
      <c r="MI12" s="104"/>
      <c r="MJ12" s="104"/>
      <c r="MK12" s="104"/>
      <c r="ML12" s="104"/>
      <c r="MM12" s="104"/>
      <c r="MN12" s="104"/>
      <c r="MO12" s="104"/>
      <c r="MP12" s="104"/>
      <c r="MQ12" s="104"/>
      <c r="MR12" s="104"/>
      <c r="MS12" s="104"/>
      <c r="MT12" s="104"/>
      <c r="MU12" s="104"/>
      <c r="MV12" s="104"/>
      <c r="MW12" s="104"/>
      <c r="MX12" s="104"/>
      <c r="MY12" s="104"/>
      <c r="MZ12" s="104"/>
      <c r="NA12" s="104"/>
      <c r="NB12" s="104"/>
      <c r="NC12" s="104"/>
      <c r="ND12" s="104"/>
      <c r="NE12" s="104"/>
      <c r="NF12" s="104"/>
      <c r="NG12" s="104"/>
      <c r="NH12" s="104"/>
      <c r="NI12" s="104"/>
      <c r="NJ12" s="104"/>
      <c r="NK12" s="104"/>
      <c r="NL12" s="104"/>
      <c r="NM12" s="104"/>
      <c r="NN12" s="104"/>
      <c r="NO12" s="104"/>
      <c r="NP12" s="104"/>
      <c r="NQ12" s="104"/>
      <c r="NR12" s="104"/>
      <c r="NS12" s="104"/>
      <c r="NT12" s="104"/>
      <c r="NU12" s="104"/>
      <c r="NV12" s="104"/>
      <c r="NW12" s="104"/>
      <c r="NX12" s="104"/>
      <c r="NY12" s="104"/>
      <c r="NZ12" s="104"/>
      <c r="OA12" s="104"/>
      <c r="OB12" s="104"/>
      <c r="OC12" s="104"/>
      <c r="OD12" s="104"/>
      <c r="OE12" s="104"/>
      <c r="OF12" s="104"/>
      <c r="OG12" s="104"/>
      <c r="OH12" s="104"/>
      <c r="OI12" s="104"/>
      <c r="OJ12" s="104"/>
      <c r="OK12" s="104"/>
      <c r="OL12" s="104"/>
      <c r="OM12" s="104"/>
      <c r="ON12" s="104"/>
      <c r="OO12" s="104"/>
      <c r="OP12" s="104"/>
      <c r="OQ12" s="104"/>
      <c r="OR12" s="104"/>
      <c r="OS12" s="104"/>
      <c r="OT12" s="104"/>
      <c r="OU12" s="104"/>
      <c r="OV12" s="104"/>
      <c r="OW12" s="104"/>
      <c r="OX12" s="104"/>
      <c r="OY12" s="104"/>
      <c r="OZ12" s="104"/>
      <c r="PA12" s="104"/>
      <c r="PB12" s="104"/>
      <c r="PC12" s="104"/>
      <c r="PD12" s="104"/>
      <c r="PE12" s="104"/>
      <c r="PF12" s="104"/>
      <c r="PG12" s="104"/>
      <c r="PH12" s="104"/>
      <c r="PI12" s="104"/>
      <c r="PJ12" s="104"/>
      <c r="PK12" s="104"/>
      <c r="PL12" s="104"/>
      <c r="PM12" s="104"/>
      <c r="PN12" s="104"/>
      <c r="PO12" s="104"/>
      <c r="PP12" s="104"/>
      <c r="PQ12" s="104"/>
      <c r="PR12" s="104"/>
      <c r="PS12" s="104"/>
      <c r="PT12" s="104"/>
      <c r="PU12" s="104"/>
      <c r="PV12" s="104"/>
      <c r="PW12" s="104"/>
      <c r="PX12" s="104"/>
      <c r="PY12" s="104"/>
      <c r="PZ12" s="104"/>
      <c r="QA12" s="104"/>
      <c r="QB12" s="104"/>
      <c r="QC12" s="104"/>
      <c r="QD12" s="104"/>
      <c r="QE12" s="104"/>
      <c r="QF12" s="104"/>
      <c r="QG12" s="104"/>
      <c r="QH12" s="104"/>
      <c r="QI12" s="104"/>
      <c r="QJ12" s="104"/>
      <c r="QK12" s="104"/>
      <c r="QL12" s="104"/>
      <c r="QM12" s="104"/>
      <c r="QN12" s="104"/>
      <c r="QO12" s="104"/>
      <c r="QP12" s="104"/>
      <c r="QQ12" s="104"/>
      <c r="QR12" s="104"/>
      <c r="QS12" s="104"/>
      <c r="QT12" s="104"/>
      <c r="QU12" s="104"/>
      <c r="QV12" s="104"/>
      <c r="QW12" s="104"/>
      <c r="QX12" s="104"/>
      <c r="QY12" s="104"/>
      <c r="QZ12" s="104"/>
      <c r="RA12" s="104"/>
      <c r="RB12" s="104"/>
      <c r="RC12" s="104"/>
      <c r="RD12" s="104"/>
      <c r="RE12" s="104"/>
      <c r="RF12" s="104"/>
      <c r="RG12" s="104"/>
      <c r="RH12" s="104"/>
      <c r="RI12" s="104"/>
      <c r="RJ12" s="104"/>
      <c r="RK12" s="104"/>
      <c r="RL12" s="104"/>
      <c r="RM12" s="104"/>
      <c r="RN12" s="104"/>
      <c r="RO12" s="104"/>
      <c r="RP12" s="104"/>
      <c r="RQ12" s="104"/>
      <c r="RR12" s="104"/>
      <c r="RS12" s="104"/>
      <c r="RT12" s="104"/>
      <c r="RU12" s="104"/>
      <c r="RV12" s="104"/>
      <c r="RW12" s="104"/>
      <c r="RX12" s="104"/>
      <c r="RY12" s="104"/>
      <c r="RZ12" s="104"/>
      <c r="SA12" s="104"/>
      <c r="SB12" s="104"/>
      <c r="SC12" s="104"/>
      <c r="SD12" s="104"/>
      <c r="SE12" s="104"/>
      <c r="SF12" s="104"/>
      <c r="SG12" s="104"/>
      <c r="SH12" s="104"/>
      <c r="SI12" s="104"/>
      <c r="SJ12" s="104"/>
      <c r="SK12" s="104"/>
      <c r="SL12" s="104"/>
      <c r="SM12" s="104"/>
      <c r="SN12" s="104"/>
      <c r="SO12" s="104"/>
      <c r="SP12" s="104"/>
      <c r="SQ12" s="104"/>
      <c r="SR12" s="104"/>
      <c r="SS12" s="104"/>
      <c r="ST12" s="104"/>
      <c r="SU12" s="104"/>
      <c r="SV12" s="104"/>
      <c r="SW12" s="104"/>
      <c r="SX12" s="104"/>
      <c r="SY12" s="104"/>
      <c r="SZ12" s="104"/>
      <c r="TA12" s="104"/>
      <c r="TB12" s="104"/>
      <c r="TC12" s="104"/>
      <c r="TD12" s="104"/>
      <c r="TE12" s="104"/>
      <c r="TF12" s="104"/>
      <c r="TG12" s="104"/>
      <c r="TH12" s="104"/>
      <c r="TI12" s="104"/>
      <c r="TJ12" s="104"/>
      <c r="TK12" s="104"/>
      <c r="TL12" s="104"/>
      <c r="TM12" s="104"/>
      <c r="TN12" s="104"/>
      <c r="TO12" s="104"/>
      <c r="TP12" s="104"/>
      <c r="TQ12" s="104"/>
      <c r="TR12" s="104"/>
      <c r="TS12" s="104"/>
      <c r="TT12" s="104"/>
      <c r="TU12" s="104"/>
      <c r="TV12" s="104"/>
      <c r="TW12" s="104"/>
      <c r="TX12" s="104"/>
      <c r="TY12" s="104"/>
      <c r="TZ12" s="104"/>
      <c r="UA12" s="104"/>
      <c r="UB12" s="104"/>
      <c r="UC12" s="104"/>
      <c r="UD12" s="104"/>
      <c r="UE12" s="104"/>
      <c r="UF12" s="104"/>
      <c r="UG12" s="104"/>
      <c r="UH12" s="104"/>
      <c r="UI12" s="104"/>
      <c r="UJ12" s="104"/>
      <c r="UK12" s="104"/>
      <c r="UL12" s="104"/>
      <c r="UM12" s="104"/>
      <c r="UN12" s="104"/>
      <c r="UO12" s="104"/>
      <c r="UP12" s="104"/>
      <c r="UQ12" s="104"/>
      <c r="UR12" s="104"/>
      <c r="US12" s="104"/>
      <c r="UT12" s="104"/>
      <c r="UU12" s="104"/>
      <c r="UV12" s="104"/>
      <c r="UW12" s="104"/>
      <c r="UX12" s="104"/>
      <c r="UY12" s="104"/>
      <c r="UZ12" s="104"/>
      <c r="VA12" s="104"/>
      <c r="VB12" s="104"/>
      <c r="VC12" s="104"/>
      <c r="VD12" s="104"/>
      <c r="VE12" s="104"/>
      <c r="VF12" s="104"/>
      <c r="VG12" s="104"/>
      <c r="VH12" s="104"/>
      <c r="VI12" s="104"/>
      <c r="VJ12" s="104"/>
      <c r="VK12" s="104"/>
      <c r="VL12" s="104"/>
      <c r="VM12" s="104"/>
      <c r="VN12" s="104"/>
      <c r="VO12" s="104"/>
      <c r="VP12" s="104"/>
      <c r="VQ12" s="104"/>
      <c r="VR12" s="104"/>
      <c r="VS12" s="104"/>
      <c r="VT12" s="104"/>
      <c r="VU12" s="104"/>
      <c r="VV12" s="104"/>
      <c r="VW12" s="104"/>
      <c r="VX12" s="104"/>
      <c r="VY12" s="104"/>
      <c r="VZ12" s="104"/>
      <c r="WA12" s="104"/>
      <c r="WB12" s="104"/>
      <c r="WC12" s="104"/>
      <c r="WD12" s="104"/>
      <c r="WE12" s="104"/>
      <c r="WF12" s="104"/>
      <c r="WG12" s="104"/>
      <c r="WH12" s="104"/>
      <c r="WI12" s="104"/>
      <c r="WJ12" s="104"/>
      <c r="WK12" s="104"/>
      <c r="WL12" s="104"/>
      <c r="WM12" s="104"/>
      <c r="WN12" s="104"/>
      <c r="WO12" s="104"/>
      <c r="WP12" s="104"/>
      <c r="WQ12" s="104"/>
      <c r="WR12" s="104"/>
      <c r="WS12" s="104"/>
      <c r="WT12" s="104"/>
      <c r="WU12" s="104"/>
      <c r="WV12" s="104"/>
      <c r="WW12" s="104"/>
      <c r="WX12" s="104"/>
      <c r="WY12" s="104"/>
      <c r="WZ12" s="104"/>
      <c r="XA12" s="104"/>
      <c r="XB12" s="104"/>
      <c r="XC12" s="104"/>
      <c r="XD12" s="104"/>
      <c r="XE12" s="104"/>
      <c r="XF12" s="104"/>
      <c r="XG12" s="104"/>
      <c r="XH12" s="104"/>
      <c r="XI12" s="104"/>
      <c r="XJ12" s="104"/>
      <c r="XK12" s="104"/>
      <c r="XL12" s="104"/>
      <c r="XM12" s="104"/>
      <c r="XN12" s="104"/>
      <c r="XO12" s="104"/>
      <c r="XP12" s="104"/>
      <c r="XQ12" s="104"/>
      <c r="XR12" s="104"/>
      <c r="XS12" s="104"/>
      <c r="XT12" s="104"/>
      <c r="XU12" s="104"/>
      <c r="XV12" s="104"/>
      <c r="XW12" s="104"/>
      <c r="XX12" s="104"/>
      <c r="XY12" s="104"/>
      <c r="XZ12" s="104"/>
      <c r="YA12" s="104"/>
      <c r="YB12" s="104"/>
      <c r="YC12" s="104"/>
      <c r="YD12" s="104"/>
      <c r="YE12" s="104"/>
      <c r="YF12" s="104"/>
      <c r="YG12" s="104"/>
      <c r="YH12" s="104"/>
      <c r="YI12" s="104"/>
      <c r="YJ12" s="104"/>
      <c r="YK12" s="104"/>
      <c r="YL12" s="104"/>
      <c r="YM12" s="104"/>
      <c r="YN12" s="104"/>
      <c r="YO12" s="104"/>
      <c r="YP12" s="104"/>
      <c r="YQ12" s="104"/>
      <c r="YR12" s="104"/>
      <c r="YS12" s="104"/>
      <c r="YT12" s="104"/>
      <c r="YU12" s="104"/>
      <c r="YV12" s="104"/>
      <c r="YW12" s="104"/>
      <c r="YX12" s="104"/>
      <c r="YY12" s="104"/>
      <c r="YZ12" s="104"/>
      <c r="ZA12" s="104"/>
      <c r="ZB12" s="104"/>
      <c r="ZC12" s="104"/>
      <c r="ZD12" s="104"/>
      <c r="ZE12" s="104"/>
      <c r="ZF12" s="104"/>
      <c r="ZG12" s="104"/>
      <c r="ZH12" s="104"/>
      <c r="ZI12" s="104"/>
      <c r="ZJ12" s="104"/>
      <c r="ZK12" s="104"/>
      <c r="ZL12" s="104"/>
      <c r="ZM12" s="104"/>
      <c r="ZN12" s="104"/>
      <c r="ZO12" s="104"/>
      <c r="ZP12" s="104"/>
      <c r="ZQ12" s="104"/>
      <c r="ZR12" s="104"/>
      <c r="ZS12" s="104"/>
      <c r="ZT12" s="104"/>
      <c r="ZU12" s="104"/>
      <c r="ZV12" s="104"/>
      <c r="ZW12" s="104"/>
      <c r="ZX12" s="104"/>
      <c r="ZY12" s="104"/>
      <c r="ZZ12" s="104"/>
      <c r="AAA12" s="104"/>
      <c r="AAB12" s="104"/>
      <c r="AAC12" s="104"/>
      <c r="AAD12" s="104"/>
      <c r="AAE12" s="104"/>
      <c r="AAF12" s="104"/>
      <c r="AAG12" s="104"/>
      <c r="AAH12" s="104"/>
      <c r="AAI12" s="104"/>
      <c r="AAJ12" s="104"/>
      <c r="AAK12" s="104"/>
      <c r="AAL12" s="104"/>
      <c r="AAM12" s="104"/>
      <c r="AAN12" s="104"/>
      <c r="AAO12" s="104"/>
      <c r="AAP12" s="104"/>
      <c r="AAQ12" s="104"/>
      <c r="AAR12" s="104"/>
      <c r="AAS12" s="104"/>
      <c r="AAT12" s="104"/>
      <c r="AAU12" s="104"/>
      <c r="AAV12" s="104"/>
      <c r="AAW12" s="104"/>
      <c r="AAX12" s="104"/>
      <c r="AAY12" s="104"/>
      <c r="AAZ12" s="104"/>
      <c r="ABA12" s="104"/>
      <c r="ABB12" s="104"/>
      <c r="ABC12" s="104"/>
      <c r="ABD12" s="104"/>
      <c r="ABE12" s="104"/>
      <c r="ABF12" s="104"/>
      <c r="ABG12" s="104"/>
      <c r="ABH12" s="104"/>
      <c r="ABI12" s="104"/>
      <c r="ABJ12" s="104"/>
      <c r="ABK12" s="104"/>
      <c r="ABL12" s="104"/>
      <c r="ABM12" s="104"/>
      <c r="ABN12" s="104"/>
      <c r="ABO12" s="104"/>
      <c r="ABP12" s="104"/>
      <c r="ABQ12" s="104"/>
      <c r="ABR12" s="104"/>
      <c r="ABS12" s="104"/>
      <c r="ABT12" s="104"/>
      <c r="ABU12" s="104"/>
      <c r="ABV12" s="104"/>
      <c r="ABW12" s="104"/>
      <c r="ABX12" s="104"/>
      <c r="ABY12" s="104"/>
      <c r="ABZ12" s="104"/>
      <c r="ACA12" s="104"/>
      <c r="ACB12" s="104"/>
      <c r="ACC12" s="104"/>
      <c r="ACD12" s="104"/>
      <c r="ACE12" s="104"/>
      <c r="ACF12" s="104"/>
      <c r="ACG12" s="104"/>
      <c r="ACH12" s="104"/>
      <c r="ACI12" s="104"/>
      <c r="ACJ12" s="104"/>
      <c r="ACK12" s="104"/>
      <c r="ACL12" s="104"/>
      <c r="ACM12" s="104"/>
      <c r="ACN12" s="104"/>
      <c r="ACO12" s="104"/>
      <c r="ACP12" s="104"/>
      <c r="ACQ12" s="104"/>
      <c r="ACR12" s="104"/>
      <c r="ACS12" s="104"/>
      <c r="ACT12" s="104"/>
      <c r="ACU12" s="104"/>
      <c r="ACV12" s="104"/>
      <c r="ACW12" s="104"/>
      <c r="ACX12" s="104"/>
      <c r="ACY12" s="104"/>
      <c r="ACZ12" s="104"/>
      <c r="ADA12" s="104"/>
      <c r="ADB12" s="104"/>
      <c r="ADC12" s="104"/>
      <c r="ADD12" s="104"/>
      <c r="ADE12" s="104"/>
      <c r="ADF12" s="104"/>
      <c r="ADG12" s="104"/>
      <c r="ADH12" s="104"/>
      <c r="ADI12" s="104"/>
      <c r="ADJ12" s="104"/>
      <c r="ADK12" s="104"/>
      <c r="ADL12" s="104"/>
      <c r="ADM12" s="104"/>
      <c r="ADN12" s="104"/>
      <c r="ADO12" s="104"/>
      <c r="ADP12" s="104"/>
      <c r="ADQ12" s="104"/>
      <c r="ADR12" s="104"/>
      <c r="ADS12" s="104"/>
      <c r="ADT12" s="104"/>
      <c r="ADU12" s="104"/>
      <c r="ADV12" s="104"/>
      <c r="ADW12" s="104"/>
      <c r="ADX12" s="104"/>
      <c r="ADY12" s="104"/>
      <c r="ADZ12" s="104"/>
      <c r="AEA12" s="104"/>
      <c r="AEB12" s="104"/>
      <c r="AEC12" s="104"/>
      <c r="AED12" s="104"/>
      <c r="AEE12" s="104"/>
      <c r="AEF12" s="104"/>
      <c r="AEG12" s="104"/>
      <c r="AEH12" s="104"/>
      <c r="AEI12" s="104"/>
      <c r="AEJ12" s="104"/>
      <c r="AEK12" s="104"/>
      <c r="AEL12" s="104"/>
      <c r="AEM12" s="104"/>
      <c r="AEN12" s="104"/>
      <c r="AEO12" s="104"/>
      <c r="AEP12" s="104"/>
      <c r="AEQ12" s="104"/>
      <c r="AER12" s="104"/>
      <c r="AES12" s="104"/>
      <c r="AET12" s="104"/>
      <c r="AEU12" s="104"/>
      <c r="AEV12" s="104"/>
      <c r="AEW12" s="104"/>
      <c r="AEX12" s="104"/>
      <c r="AEY12" s="104"/>
      <c r="AEZ12" s="104"/>
      <c r="AFA12" s="104"/>
      <c r="AFB12" s="104"/>
      <c r="AFC12" s="104"/>
      <c r="AFD12" s="104"/>
      <c r="AFE12" s="104"/>
      <c r="AFF12" s="104"/>
      <c r="AFG12" s="104"/>
      <c r="AFH12" s="104"/>
      <c r="AFI12" s="104"/>
      <c r="AFJ12" s="104"/>
      <c r="AFK12" s="104"/>
      <c r="AFL12" s="104"/>
      <c r="AFM12" s="104"/>
      <c r="AFN12" s="104"/>
      <c r="AFO12" s="104"/>
      <c r="AFP12" s="104"/>
      <c r="AFQ12" s="104"/>
      <c r="AFR12" s="104"/>
      <c r="AFS12" s="104"/>
      <c r="AFT12" s="104"/>
      <c r="AFU12" s="104"/>
      <c r="AFV12" s="104"/>
      <c r="AFW12" s="104"/>
      <c r="AFX12" s="104"/>
      <c r="AFY12" s="104"/>
      <c r="AFZ12" s="104"/>
      <c r="AGA12" s="104"/>
      <c r="AGB12" s="104"/>
      <c r="AGC12" s="104"/>
      <c r="AGD12" s="104"/>
      <c r="AGE12" s="104"/>
      <c r="AGF12" s="104"/>
      <c r="AGG12" s="104"/>
      <c r="AGH12" s="104"/>
      <c r="AGI12" s="104"/>
      <c r="AGJ12" s="104"/>
      <c r="AGK12" s="104"/>
      <c r="AGL12" s="104"/>
      <c r="AGM12" s="104"/>
      <c r="AGN12" s="104"/>
      <c r="AGO12" s="104"/>
      <c r="AGP12" s="104"/>
      <c r="AGQ12" s="104"/>
      <c r="AGR12" s="104"/>
      <c r="AGS12" s="104"/>
      <c r="AGT12" s="104"/>
      <c r="AGU12" s="104"/>
      <c r="AGV12" s="104"/>
      <c r="AGW12" s="104"/>
      <c r="AGX12" s="104"/>
      <c r="AGY12" s="104"/>
      <c r="AGZ12" s="104"/>
      <c r="AHA12" s="104"/>
      <c r="AHB12" s="104"/>
      <c r="AHC12" s="104"/>
      <c r="AHD12" s="104"/>
      <c r="AHE12" s="104"/>
      <c r="AHF12" s="104"/>
      <c r="AHG12" s="104"/>
      <c r="AHH12" s="104"/>
      <c r="AHI12" s="104"/>
      <c r="AHJ12" s="104"/>
      <c r="AHK12" s="104"/>
      <c r="AHL12" s="104"/>
      <c r="AHM12" s="104"/>
      <c r="AHN12" s="104"/>
      <c r="AHO12" s="104"/>
      <c r="AHP12" s="104"/>
      <c r="AHQ12" s="104"/>
      <c r="AHR12" s="104"/>
      <c r="AHS12" s="104"/>
      <c r="AHT12" s="104"/>
      <c r="AHU12" s="104"/>
      <c r="AHV12" s="104"/>
      <c r="AHW12" s="104"/>
      <c r="AHX12" s="104"/>
      <c r="AHY12" s="104"/>
      <c r="AHZ12" s="104"/>
      <c r="AIA12" s="104"/>
      <c r="AIB12" s="104"/>
      <c r="AIC12" s="104"/>
      <c r="AID12" s="104"/>
      <c r="AIE12" s="104"/>
      <c r="AIF12" s="104"/>
      <c r="AIG12" s="104"/>
      <c r="AIH12" s="104"/>
      <c r="AII12" s="104"/>
      <c r="AIJ12" s="104"/>
      <c r="AIK12" s="104"/>
      <c r="AIL12" s="104"/>
      <c r="AIM12" s="104"/>
      <c r="AIN12" s="104"/>
      <c r="AIO12" s="104"/>
      <c r="AIP12" s="104"/>
      <c r="AIQ12" s="104"/>
      <c r="AIR12" s="104"/>
      <c r="AIS12" s="104"/>
      <c r="AIT12" s="104"/>
      <c r="AIU12" s="104"/>
      <c r="AIV12" s="104"/>
      <c r="AIW12" s="104"/>
      <c r="AIX12" s="104"/>
      <c r="AIY12" s="104"/>
      <c r="AIZ12" s="104"/>
      <c r="AJA12" s="104"/>
      <c r="AJB12" s="104"/>
      <c r="AJC12" s="104"/>
      <c r="AJD12" s="104"/>
      <c r="AJE12" s="104"/>
      <c r="AJF12" s="104"/>
      <c r="AJG12" s="104"/>
      <c r="AJH12" s="104"/>
      <c r="AJI12" s="104"/>
      <c r="AJJ12" s="104"/>
      <c r="AJK12" s="104"/>
      <c r="AJL12" s="104"/>
      <c r="AJM12" s="104"/>
      <c r="AJN12" s="104"/>
      <c r="AJO12" s="104"/>
      <c r="AJP12" s="104"/>
      <c r="AJQ12" s="104"/>
      <c r="AJR12" s="104"/>
      <c r="AJS12" s="104"/>
      <c r="AJT12" s="104"/>
      <c r="AJU12" s="104"/>
      <c r="AJV12" s="104"/>
      <c r="AJW12" s="104"/>
      <c r="AJX12" s="104"/>
      <c r="AJY12" s="104"/>
      <c r="AJZ12" s="104"/>
      <c r="AKA12" s="104"/>
      <c r="AKB12" s="104"/>
      <c r="AKC12" s="104"/>
      <c r="AKD12" s="104"/>
      <c r="AKE12" s="104"/>
      <c r="AKF12" s="104"/>
      <c r="AKG12" s="104"/>
      <c r="AKH12" s="104"/>
      <c r="AKI12" s="104"/>
      <c r="AKJ12" s="104"/>
      <c r="AKK12" s="104"/>
      <c r="AKL12" s="104"/>
      <c r="AKM12" s="104"/>
      <c r="AKN12" s="104"/>
      <c r="AKO12" s="104"/>
      <c r="AKP12" s="104"/>
      <c r="AKQ12" s="104"/>
      <c r="AKR12" s="104"/>
      <c r="AKS12" s="104"/>
      <c r="AKT12" s="104"/>
      <c r="AKU12" s="104"/>
      <c r="AKV12" s="104"/>
      <c r="AKW12" s="104"/>
      <c r="AKX12" s="104"/>
      <c r="AKY12" s="104"/>
      <c r="AKZ12" s="104"/>
      <c r="ALA12" s="104"/>
      <c r="ALB12" s="104"/>
      <c r="ALC12" s="104"/>
      <c r="ALD12" s="104"/>
      <c r="ALE12" s="104"/>
      <c r="ALF12" s="104"/>
      <c r="ALG12" s="104"/>
      <c r="ALH12" s="104"/>
      <c r="ALI12" s="104"/>
      <c r="ALJ12" s="104"/>
      <c r="ALK12" s="104"/>
      <c r="ALL12" s="104"/>
      <c r="ALM12" s="104"/>
      <c r="ALN12" s="104"/>
      <c r="ALO12" s="104"/>
      <c r="ALP12" s="104"/>
      <c r="ALQ12" s="104"/>
      <c r="ALR12" s="104"/>
      <c r="ALS12" s="104"/>
      <c r="ALT12" s="104"/>
      <c r="ALU12" s="104"/>
      <c r="ALV12" s="104"/>
      <c r="ALW12" s="104"/>
      <c r="ALX12" s="104"/>
      <c r="ALY12" s="104"/>
      <c r="ALZ12" s="104"/>
      <c r="AMA12" s="104"/>
      <c r="AMB12" s="104"/>
      <c r="AMC12" s="104"/>
      <c r="AMD12" s="104"/>
      <c r="AME12" s="104"/>
      <c r="AMF12" s="104"/>
      <c r="AMG12" s="104"/>
      <c r="AMH12" s="104"/>
      <c r="AMI12" s="104"/>
      <c r="AMJ12" s="104"/>
      <c r="AMK12" s="104"/>
      <c r="AML12" s="104"/>
      <c r="AMM12" s="104"/>
      <c r="AMN12" s="104"/>
      <c r="AMO12" s="104"/>
      <c r="AMP12" s="104"/>
      <c r="AMQ12" s="104"/>
      <c r="AMR12" s="104"/>
      <c r="AMS12" s="104"/>
      <c r="AMT12" s="104"/>
      <c r="AMU12" s="104"/>
      <c r="AMV12" s="104"/>
      <c r="AMW12" s="104"/>
      <c r="AMX12" s="104"/>
      <c r="AMY12" s="104"/>
      <c r="AMZ12" s="104"/>
      <c r="ANA12" s="104"/>
      <c r="ANB12" s="104"/>
      <c r="ANC12" s="104"/>
      <c r="AND12" s="104"/>
      <c r="ANE12" s="104"/>
      <c r="ANF12" s="104"/>
      <c r="ANG12" s="104"/>
      <c r="ANH12" s="104"/>
      <c r="ANI12" s="104"/>
      <c r="ANJ12" s="104"/>
      <c r="ANK12" s="104"/>
      <c r="ANL12" s="104"/>
      <c r="ANM12" s="104"/>
      <c r="ANN12" s="104"/>
      <c r="ANO12" s="104"/>
      <c r="ANP12" s="104"/>
      <c r="ANQ12" s="104"/>
      <c r="ANR12" s="104"/>
      <c r="ANS12" s="104"/>
      <c r="ANT12" s="104"/>
      <c r="ANU12" s="104"/>
      <c r="ANV12" s="104"/>
      <c r="ANW12" s="104"/>
      <c r="ANX12" s="104"/>
      <c r="ANY12" s="104"/>
      <c r="ANZ12" s="104"/>
      <c r="AOA12" s="104"/>
      <c r="AOB12" s="104"/>
      <c r="AOC12" s="104"/>
      <c r="AOD12" s="104"/>
      <c r="AOE12" s="104"/>
      <c r="AOF12" s="104"/>
      <c r="AOG12" s="104"/>
      <c r="AOH12" s="104"/>
      <c r="AOI12" s="104"/>
      <c r="AOJ12" s="104"/>
      <c r="AOK12" s="104"/>
      <c r="AOL12" s="104"/>
      <c r="AOM12" s="104"/>
      <c r="AON12" s="104"/>
      <c r="AOO12" s="104"/>
      <c r="AOP12" s="104"/>
      <c r="AOQ12" s="104"/>
      <c r="AOR12" s="104"/>
      <c r="AOS12" s="104"/>
      <c r="AOT12" s="104"/>
      <c r="AOU12" s="104"/>
      <c r="AOV12" s="104"/>
      <c r="AOW12" s="104"/>
      <c r="AOX12" s="104"/>
      <c r="AOY12" s="104"/>
      <c r="AOZ12" s="104"/>
      <c r="APA12" s="104"/>
      <c r="APB12" s="104"/>
      <c r="APC12" s="104"/>
      <c r="APD12" s="104"/>
      <c r="APE12" s="104"/>
      <c r="APF12" s="104"/>
      <c r="APG12" s="104"/>
      <c r="APH12" s="104"/>
      <c r="API12" s="104"/>
      <c r="APJ12" s="104"/>
      <c r="APK12" s="104"/>
      <c r="APL12" s="104"/>
      <c r="APM12" s="104"/>
      <c r="APN12" s="104"/>
      <c r="APO12" s="104"/>
      <c r="APP12" s="104"/>
      <c r="APQ12" s="104"/>
      <c r="APR12" s="104"/>
      <c r="APS12" s="104"/>
      <c r="APT12" s="104"/>
      <c r="APU12" s="104"/>
      <c r="APV12" s="104"/>
      <c r="APW12" s="104"/>
      <c r="APX12" s="104"/>
      <c r="APY12" s="104"/>
      <c r="APZ12" s="104"/>
      <c r="AQA12" s="104"/>
      <c r="AQB12" s="104"/>
      <c r="AQC12" s="104"/>
      <c r="AQD12" s="104"/>
      <c r="AQE12" s="104"/>
      <c r="AQF12" s="104"/>
      <c r="AQG12" s="104"/>
      <c r="AQH12" s="104"/>
      <c r="AQI12" s="104"/>
      <c r="AQJ12" s="104"/>
      <c r="AQK12" s="104"/>
      <c r="AQL12" s="104"/>
      <c r="AQM12" s="104"/>
      <c r="AQN12" s="104"/>
      <c r="AQO12" s="104"/>
      <c r="AQP12" s="104"/>
      <c r="AQQ12" s="104"/>
      <c r="AQR12" s="104"/>
      <c r="AQS12" s="104"/>
      <c r="AQT12" s="104"/>
      <c r="AQU12" s="104"/>
      <c r="AQV12" s="104"/>
      <c r="AQW12" s="104"/>
      <c r="AQX12" s="104"/>
      <c r="AQY12" s="104"/>
      <c r="AQZ12" s="104"/>
      <c r="ARA12" s="104"/>
      <c r="ARB12" s="104"/>
      <c r="ARC12" s="104"/>
      <c r="ARD12" s="104"/>
      <c r="ARE12" s="104"/>
      <c r="ARF12" s="104"/>
      <c r="ARG12" s="104"/>
      <c r="ARH12" s="104"/>
      <c r="ARI12" s="104"/>
      <c r="ARJ12" s="104"/>
      <c r="ARK12" s="104"/>
      <c r="ARL12" s="104"/>
      <c r="ARM12" s="104"/>
      <c r="ARN12" s="104"/>
      <c r="ARO12" s="104"/>
      <c r="ARP12" s="104"/>
      <c r="ARQ12" s="104"/>
      <c r="ARR12" s="104"/>
      <c r="ARS12" s="104"/>
      <c r="ART12" s="104"/>
      <c r="ARU12" s="104"/>
      <c r="ARV12" s="104"/>
      <c r="ARW12" s="104"/>
      <c r="ARX12" s="104"/>
      <c r="ARY12" s="104"/>
      <c r="ARZ12" s="104"/>
      <c r="ASA12" s="104"/>
      <c r="ASB12" s="104"/>
      <c r="ASC12" s="104"/>
      <c r="ASD12" s="104"/>
      <c r="ASE12" s="104"/>
      <c r="ASF12" s="104"/>
      <c r="ASG12" s="104"/>
      <c r="ASH12" s="104"/>
      <c r="ASI12" s="104"/>
      <c r="ASJ12" s="104"/>
      <c r="ASK12" s="104"/>
      <c r="ASL12" s="104"/>
      <c r="ASM12" s="104"/>
      <c r="ASN12" s="104"/>
      <c r="ASO12" s="104"/>
      <c r="ASP12" s="104"/>
      <c r="ASQ12" s="104"/>
      <c r="ASR12" s="104"/>
      <c r="ASS12" s="104"/>
      <c r="AST12" s="104"/>
      <c r="ASU12" s="104"/>
      <c r="ASV12" s="104"/>
      <c r="ASW12" s="104"/>
      <c r="ASX12" s="104"/>
      <c r="ASY12" s="104"/>
      <c r="ASZ12" s="104"/>
      <c r="ATA12" s="104"/>
      <c r="ATB12" s="104"/>
      <c r="ATC12" s="104"/>
      <c r="ATD12" s="104"/>
      <c r="ATE12" s="104"/>
      <c r="ATF12" s="104"/>
      <c r="ATG12" s="104"/>
      <c r="ATH12" s="104"/>
      <c r="ATI12" s="104"/>
      <c r="ATJ12" s="104"/>
      <c r="ATK12" s="104"/>
      <c r="ATL12" s="104"/>
      <c r="ATM12" s="104"/>
      <c r="ATN12" s="104"/>
      <c r="ATO12" s="104"/>
      <c r="ATP12" s="104"/>
      <c r="ATQ12" s="104"/>
      <c r="ATR12" s="104"/>
      <c r="ATS12" s="104"/>
      <c r="ATT12" s="104"/>
      <c r="ATU12" s="104"/>
      <c r="ATV12" s="104"/>
      <c r="ATW12" s="104"/>
      <c r="ATX12" s="104"/>
      <c r="ATY12" s="104"/>
      <c r="ATZ12" s="104"/>
      <c r="AUA12" s="104"/>
      <c r="AUB12" s="104"/>
      <c r="AUC12" s="104"/>
      <c r="AUD12" s="104"/>
      <c r="AUE12" s="104"/>
      <c r="AUF12" s="104"/>
      <c r="AUG12" s="104"/>
      <c r="AUH12" s="104"/>
      <c r="AUI12" s="104"/>
      <c r="AUJ12" s="104"/>
      <c r="AUK12" s="104"/>
      <c r="AUL12" s="104"/>
      <c r="AUM12" s="104"/>
      <c r="AUN12" s="104"/>
      <c r="AUO12" s="104"/>
      <c r="AUP12" s="104"/>
      <c r="AUQ12" s="104"/>
      <c r="AUR12" s="104"/>
      <c r="AUS12" s="104"/>
      <c r="AUT12" s="104"/>
      <c r="AUU12" s="104"/>
      <c r="AUV12" s="104"/>
      <c r="AUW12" s="104"/>
      <c r="AUX12" s="104"/>
      <c r="AUY12" s="104"/>
      <c r="AUZ12" s="104"/>
      <c r="AVA12" s="104"/>
      <c r="AVB12" s="104"/>
      <c r="AVC12" s="104"/>
      <c r="AVD12" s="104"/>
      <c r="AVE12" s="104"/>
      <c r="AVF12" s="104"/>
      <c r="AVG12" s="104"/>
      <c r="AVH12" s="104"/>
      <c r="AVI12" s="104"/>
      <c r="AVJ12" s="104"/>
      <c r="AVK12" s="104"/>
      <c r="AVL12" s="104"/>
      <c r="AVM12" s="104"/>
      <c r="AVN12" s="104"/>
      <c r="AVO12" s="104"/>
      <c r="AVP12" s="104"/>
      <c r="AVQ12" s="104"/>
      <c r="AVR12" s="104"/>
      <c r="AVS12" s="104"/>
      <c r="AVT12" s="104"/>
      <c r="AVU12" s="104"/>
      <c r="AVV12" s="104"/>
      <c r="AVW12" s="104"/>
      <c r="AVX12" s="104"/>
      <c r="AVY12" s="104"/>
      <c r="AVZ12" s="104"/>
      <c r="AWA12" s="104"/>
      <c r="AWB12" s="104"/>
      <c r="AWC12" s="104"/>
      <c r="AWD12" s="104"/>
      <c r="AWE12" s="104"/>
      <c r="AWF12" s="104"/>
      <c r="AWG12" s="104"/>
      <c r="AWH12" s="104"/>
      <c r="AWI12" s="104"/>
      <c r="AWJ12" s="104"/>
      <c r="AWK12" s="104"/>
      <c r="AWL12" s="104"/>
      <c r="AWM12" s="104"/>
      <c r="AWN12" s="104"/>
      <c r="AWO12" s="104"/>
      <c r="AWP12" s="104"/>
      <c r="AWQ12" s="104"/>
      <c r="AWR12" s="104"/>
      <c r="AWS12" s="104"/>
      <c r="AWT12" s="104"/>
      <c r="AWU12" s="104"/>
      <c r="AWV12" s="104"/>
      <c r="AWW12" s="104"/>
      <c r="AWX12" s="104"/>
      <c r="AWY12" s="104"/>
      <c r="AWZ12" s="104"/>
      <c r="AXA12" s="104"/>
      <c r="AXB12" s="104"/>
      <c r="AXC12" s="104"/>
      <c r="AXD12" s="104"/>
      <c r="AXE12" s="104"/>
      <c r="AXF12" s="104"/>
      <c r="AXG12" s="104"/>
      <c r="AXH12" s="104"/>
      <c r="AXI12" s="104"/>
      <c r="AXJ12" s="104"/>
      <c r="AXK12" s="104"/>
      <c r="AXL12" s="104"/>
      <c r="AXM12" s="104"/>
      <c r="AXN12" s="104"/>
      <c r="AXO12" s="104"/>
      <c r="AXP12" s="104"/>
      <c r="AXQ12" s="104"/>
      <c r="AXR12" s="104"/>
      <c r="AXS12" s="104"/>
      <c r="AXT12" s="104"/>
      <c r="AXU12" s="104"/>
      <c r="AXV12" s="104"/>
      <c r="AXW12" s="104"/>
      <c r="AXX12" s="104"/>
      <c r="AXY12" s="104"/>
      <c r="AXZ12" s="104"/>
      <c r="AYA12" s="104"/>
      <c r="AYB12" s="104"/>
      <c r="AYC12" s="104"/>
      <c r="AYD12" s="104"/>
      <c r="AYE12" s="104"/>
      <c r="AYF12" s="104"/>
      <c r="AYG12" s="104"/>
      <c r="AYH12" s="104"/>
      <c r="AYI12" s="104"/>
      <c r="AYJ12" s="104"/>
      <c r="AYK12" s="104"/>
      <c r="AYL12" s="104"/>
      <c r="AYM12" s="104"/>
      <c r="AYN12" s="104"/>
      <c r="AYO12" s="104"/>
      <c r="AYP12" s="104"/>
      <c r="AYQ12" s="104"/>
      <c r="AYR12" s="104"/>
      <c r="AYS12" s="104"/>
      <c r="AYT12" s="104"/>
      <c r="AYU12" s="104"/>
      <c r="AYV12" s="104"/>
      <c r="AYW12" s="104"/>
      <c r="AYX12" s="104"/>
      <c r="AYY12" s="104"/>
      <c r="AYZ12" s="104"/>
      <c r="AZA12" s="104"/>
      <c r="AZB12" s="104"/>
      <c r="AZC12" s="104"/>
      <c r="AZD12" s="104"/>
      <c r="AZE12" s="104"/>
      <c r="AZF12" s="104"/>
      <c r="AZG12" s="104"/>
      <c r="AZH12" s="104"/>
      <c r="AZI12" s="104"/>
      <c r="AZJ12" s="104"/>
      <c r="AZK12" s="104"/>
      <c r="AZL12" s="104"/>
      <c r="AZM12" s="104"/>
      <c r="AZN12" s="104"/>
      <c r="AZO12" s="104"/>
      <c r="AZP12" s="104"/>
      <c r="AZQ12" s="104"/>
      <c r="AZR12" s="104"/>
      <c r="AZS12" s="104"/>
      <c r="AZT12" s="104"/>
      <c r="AZU12" s="104"/>
      <c r="AZV12" s="104"/>
      <c r="AZW12" s="104"/>
      <c r="AZX12" s="104"/>
      <c r="AZY12" s="104"/>
      <c r="AZZ12" s="104"/>
      <c r="BAA12" s="104"/>
      <c r="BAB12" s="104"/>
      <c r="BAC12" s="104"/>
      <c r="BAD12" s="104"/>
      <c r="BAE12" s="104"/>
      <c r="BAF12" s="104"/>
      <c r="BAG12" s="104"/>
      <c r="BAH12" s="104"/>
      <c r="BAI12" s="104"/>
      <c r="BAJ12" s="104"/>
      <c r="BAK12" s="104"/>
      <c r="BAL12" s="104"/>
      <c r="BAM12" s="104"/>
      <c r="BAN12" s="104"/>
      <c r="BAO12" s="104"/>
      <c r="BAP12" s="104"/>
      <c r="BAQ12" s="104"/>
      <c r="BAR12" s="104"/>
      <c r="BAS12" s="104"/>
      <c r="BAT12" s="104"/>
      <c r="BAU12" s="104"/>
      <c r="BAV12" s="104"/>
      <c r="BAW12" s="104"/>
      <c r="BAX12" s="104"/>
      <c r="BAY12" s="104"/>
      <c r="BAZ12" s="104"/>
      <c r="BBA12" s="104"/>
      <c r="BBB12" s="104"/>
      <c r="BBC12" s="104"/>
      <c r="BBD12" s="104"/>
      <c r="BBE12" s="104"/>
      <c r="BBF12" s="104"/>
      <c r="BBG12" s="104"/>
      <c r="BBH12" s="104"/>
      <c r="BBI12" s="104"/>
      <c r="BBJ12" s="104"/>
      <c r="BBK12" s="104"/>
      <c r="BBL12" s="104"/>
      <c r="BBM12" s="104"/>
      <c r="BBN12" s="104"/>
      <c r="BBO12" s="104"/>
      <c r="BBP12" s="104"/>
      <c r="BBQ12" s="104"/>
      <c r="BBR12" s="104"/>
      <c r="BBS12" s="104"/>
      <c r="BBT12" s="104"/>
      <c r="BBU12" s="104"/>
      <c r="BBV12" s="104"/>
      <c r="BBW12" s="104"/>
      <c r="BBX12" s="104"/>
      <c r="BBY12" s="104"/>
      <c r="BBZ12" s="104"/>
      <c r="BCA12" s="104"/>
      <c r="BCB12" s="104"/>
      <c r="BCC12" s="104"/>
      <c r="BCD12" s="104"/>
      <c r="BCE12" s="104"/>
      <c r="BCF12" s="104"/>
      <c r="BCG12" s="104"/>
      <c r="BCH12" s="104"/>
      <c r="BCI12" s="104"/>
      <c r="BCJ12" s="104"/>
      <c r="BCK12" s="104"/>
      <c r="BCL12" s="104"/>
      <c r="BCM12" s="104"/>
      <c r="BCN12" s="104"/>
      <c r="BCO12" s="104"/>
      <c r="BCP12" s="104"/>
      <c r="BCQ12" s="104"/>
      <c r="BCR12" s="104"/>
      <c r="BCS12" s="104"/>
      <c r="BCT12" s="104"/>
      <c r="BCU12" s="104"/>
      <c r="BCV12" s="104"/>
      <c r="BCW12" s="104"/>
      <c r="BCX12" s="104"/>
      <c r="BCY12" s="104"/>
      <c r="BCZ12" s="104"/>
      <c r="BDA12" s="104"/>
      <c r="BDB12" s="104"/>
      <c r="BDC12" s="104"/>
      <c r="BDD12" s="104"/>
      <c r="BDE12" s="104"/>
      <c r="BDF12" s="104"/>
      <c r="BDG12" s="104"/>
      <c r="BDH12" s="104"/>
      <c r="BDI12" s="104"/>
      <c r="BDJ12" s="104"/>
      <c r="BDK12" s="104"/>
      <c r="BDL12" s="104"/>
      <c r="BDM12" s="104"/>
      <c r="BDN12" s="104"/>
      <c r="BDO12" s="104"/>
      <c r="BDP12" s="104"/>
      <c r="BDQ12" s="104"/>
      <c r="BDR12" s="104"/>
      <c r="BDS12" s="104"/>
      <c r="BDT12" s="104"/>
      <c r="BDU12" s="104"/>
      <c r="BDV12" s="104"/>
      <c r="BDW12" s="104"/>
      <c r="BDX12" s="104"/>
      <c r="BDY12" s="104"/>
      <c r="BDZ12" s="104"/>
      <c r="BEA12" s="104"/>
      <c r="BEB12" s="104"/>
      <c r="BEC12" s="104"/>
      <c r="BED12" s="104"/>
      <c r="BEE12" s="104"/>
      <c r="BEF12" s="104"/>
      <c r="BEG12" s="104"/>
      <c r="BEH12" s="104"/>
      <c r="BEI12" s="104"/>
      <c r="BEJ12" s="104"/>
      <c r="BEK12" s="104"/>
      <c r="BEL12" s="104"/>
      <c r="BEM12" s="104"/>
      <c r="BEN12" s="104"/>
      <c r="BEO12" s="104"/>
      <c r="BEP12" s="104"/>
      <c r="BEQ12" s="104"/>
      <c r="BER12" s="104"/>
      <c r="BES12" s="104"/>
      <c r="BET12" s="104"/>
      <c r="BEU12" s="104"/>
      <c r="BEV12" s="104"/>
      <c r="BEW12" s="104"/>
      <c r="BEX12" s="104"/>
      <c r="BEY12" s="104"/>
      <c r="BEZ12" s="104"/>
      <c r="BFA12" s="104"/>
      <c r="BFB12" s="104"/>
      <c r="BFC12" s="104"/>
      <c r="BFD12" s="104"/>
      <c r="BFE12" s="104"/>
      <c r="BFF12" s="104"/>
      <c r="BFG12" s="104"/>
      <c r="BFH12" s="104"/>
      <c r="BFI12" s="104"/>
      <c r="BFJ12" s="104"/>
      <c r="BFK12" s="104"/>
      <c r="BFL12" s="104"/>
      <c r="BFM12" s="104"/>
      <c r="BFN12" s="104"/>
      <c r="BFO12" s="104"/>
      <c r="BFP12" s="104"/>
      <c r="BFQ12" s="104"/>
      <c r="BFR12" s="104"/>
      <c r="BFS12" s="104"/>
      <c r="BFT12" s="104"/>
      <c r="BFU12" s="104"/>
      <c r="BFV12" s="104"/>
      <c r="BFW12" s="104"/>
      <c r="BFX12" s="104"/>
      <c r="BFY12" s="104"/>
      <c r="BFZ12" s="104"/>
      <c r="BGA12" s="104"/>
      <c r="BGB12" s="104"/>
      <c r="BGC12" s="104"/>
      <c r="BGD12" s="104"/>
      <c r="BGE12" s="104"/>
      <c r="BGF12" s="104"/>
      <c r="BGG12" s="104"/>
      <c r="BGH12" s="104"/>
      <c r="BGI12" s="104"/>
      <c r="BGJ12" s="104"/>
      <c r="BGK12" s="104"/>
      <c r="BGL12" s="104"/>
      <c r="BGM12" s="104"/>
      <c r="BGN12" s="104"/>
      <c r="BGO12" s="104"/>
      <c r="BGP12" s="104"/>
      <c r="BGQ12" s="104"/>
      <c r="BGR12" s="104"/>
      <c r="BGS12" s="104"/>
      <c r="BGT12" s="104"/>
      <c r="BGU12" s="104"/>
      <c r="BGV12" s="104"/>
      <c r="BGW12" s="104"/>
      <c r="BGX12" s="104"/>
      <c r="BGY12" s="104"/>
      <c r="BGZ12" s="104"/>
      <c r="BHA12" s="104"/>
      <c r="BHB12" s="104"/>
      <c r="BHC12" s="104"/>
      <c r="BHD12" s="104"/>
      <c r="BHE12" s="104"/>
      <c r="BHF12" s="104"/>
      <c r="BHG12" s="104"/>
      <c r="BHH12" s="104"/>
      <c r="BHI12" s="104"/>
      <c r="BHJ12" s="104"/>
      <c r="BHK12" s="104"/>
      <c r="BHL12" s="104"/>
      <c r="BHM12" s="104"/>
      <c r="BHN12" s="104"/>
      <c r="BHO12" s="104"/>
      <c r="BHP12" s="104"/>
      <c r="BHQ12" s="104"/>
      <c r="BHR12" s="104"/>
      <c r="BHS12" s="104"/>
      <c r="BHT12" s="104"/>
      <c r="BHU12" s="104"/>
      <c r="BHV12" s="104"/>
      <c r="BHW12" s="104"/>
      <c r="BHX12" s="104"/>
      <c r="BHY12" s="104"/>
      <c r="BHZ12" s="104"/>
      <c r="BIA12" s="104"/>
      <c r="BIB12" s="104"/>
      <c r="BIC12" s="104"/>
      <c r="BID12" s="104"/>
      <c r="BIE12" s="104"/>
      <c r="BIF12" s="104"/>
      <c r="BIG12" s="104"/>
      <c r="BIH12" s="104"/>
      <c r="BII12" s="104"/>
      <c r="BIJ12" s="104"/>
      <c r="BIK12" s="104"/>
      <c r="BIL12" s="104"/>
      <c r="BIM12" s="104"/>
      <c r="BIN12" s="104"/>
      <c r="BIO12" s="104"/>
      <c r="BIP12" s="104"/>
      <c r="BIQ12" s="104"/>
      <c r="BIR12" s="104"/>
      <c r="BIS12" s="104"/>
      <c r="BIT12" s="104"/>
      <c r="BIU12" s="104"/>
      <c r="BIV12" s="104"/>
      <c r="BIW12" s="104"/>
      <c r="BIX12" s="104"/>
      <c r="BIY12" s="104"/>
      <c r="BIZ12" s="104"/>
      <c r="BJA12" s="104"/>
      <c r="BJB12" s="104"/>
      <c r="BJC12" s="104"/>
      <c r="BJD12" s="104"/>
      <c r="BJE12" s="104"/>
      <c r="BJF12" s="104"/>
      <c r="BJG12" s="104"/>
      <c r="BJH12" s="104"/>
      <c r="BJI12" s="104"/>
      <c r="BJJ12" s="104"/>
      <c r="BJK12" s="104"/>
      <c r="BJL12" s="104"/>
      <c r="BJM12" s="104"/>
      <c r="BJN12" s="104"/>
      <c r="BJO12" s="104"/>
      <c r="BJP12" s="104"/>
      <c r="BJQ12" s="104"/>
      <c r="BJR12" s="104"/>
      <c r="BJS12" s="104"/>
      <c r="BJT12" s="104"/>
      <c r="BJU12" s="104"/>
      <c r="BJV12" s="104"/>
      <c r="BJW12" s="104"/>
      <c r="BJX12" s="104"/>
      <c r="BJY12" s="104"/>
      <c r="BJZ12" s="104"/>
      <c r="BKA12" s="104"/>
      <c r="BKB12" s="104"/>
      <c r="BKC12" s="104"/>
      <c r="BKD12" s="104"/>
      <c r="BKE12" s="104"/>
      <c r="BKF12" s="104"/>
      <c r="BKG12" s="104"/>
      <c r="BKH12" s="104"/>
      <c r="BKI12" s="104"/>
      <c r="BKJ12" s="104"/>
      <c r="BKK12" s="104"/>
      <c r="BKL12" s="104"/>
      <c r="BKM12" s="104"/>
      <c r="BKN12" s="104"/>
      <c r="BKO12" s="104"/>
      <c r="BKP12" s="104"/>
      <c r="BKQ12" s="104"/>
      <c r="BKR12" s="104"/>
      <c r="BKS12" s="104"/>
      <c r="BKT12" s="104"/>
      <c r="BKU12" s="104"/>
      <c r="BKV12" s="104"/>
      <c r="BKW12" s="104"/>
      <c r="BKX12" s="104"/>
      <c r="BKY12" s="104"/>
      <c r="BKZ12" s="104"/>
      <c r="BLA12" s="104"/>
      <c r="BLB12" s="104"/>
      <c r="BLC12" s="104"/>
      <c r="BLD12" s="104"/>
      <c r="BLE12" s="104"/>
      <c r="BLF12" s="104"/>
      <c r="BLG12" s="104"/>
      <c r="BLH12" s="104"/>
      <c r="BLI12" s="104"/>
      <c r="BLJ12" s="104"/>
      <c r="BLK12" s="104"/>
      <c r="BLL12" s="104"/>
      <c r="BLM12" s="104"/>
      <c r="BLN12" s="104"/>
      <c r="BLO12" s="104"/>
      <c r="BLP12" s="104"/>
      <c r="BLQ12" s="104"/>
      <c r="BLR12" s="104"/>
      <c r="BLS12" s="104"/>
      <c r="BLT12" s="104"/>
      <c r="BLU12" s="104"/>
      <c r="BLV12" s="104"/>
      <c r="BLW12" s="104"/>
      <c r="BLX12" s="104"/>
      <c r="BLY12" s="104"/>
      <c r="BLZ12" s="104"/>
      <c r="BMA12" s="104"/>
      <c r="BMB12" s="104"/>
      <c r="BMC12" s="104"/>
      <c r="BMD12" s="104"/>
      <c r="BME12" s="104"/>
      <c r="BMF12" s="104"/>
      <c r="BMG12" s="104"/>
      <c r="BMH12" s="104"/>
      <c r="BMI12" s="104"/>
      <c r="BMJ12" s="104"/>
      <c r="BMK12" s="104"/>
      <c r="BML12" s="104"/>
      <c r="BMM12" s="104"/>
      <c r="BMN12" s="104"/>
      <c r="BMO12" s="104"/>
      <c r="BMP12" s="104"/>
      <c r="BMQ12" s="104"/>
      <c r="BMR12" s="104"/>
      <c r="BMS12" s="104"/>
      <c r="BMT12" s="104"/>
      <c r="BMU12" s="104"/>
      <c r="BMV12" s="104"/>
      <c r="BMW12" s="104"/>
      <c r="BMX12" s="104"/>
      <c r="BMY12" s="104"/>
      <c r="BMZ12" s="104"/>
      <c r="BNA12" s="104"/>
      <c r="BNB12" s="104"/>
      <c r="BNC12" s="104"/>
      <c r="BND12" s="104"/>
      <c r="BNE12" s="104"/>
      <c r="BNF12" s="104"/>
      <c r="BNG12" s="104"/>
      <c r="BNH12" s="104"/>
      <c r="BNI12" s="104"/>
      <c r="BNJ12" s="104"/>
      <c r="BNK12" s="104"/>
      <c r="BNL12" s="104"/>
      <c r="BNM12" s="104"/>
      <c r="BNN12" s="104"/>
      <c r="BNO12" s="104"/>
      <c r="BNP12" s="104"/>
      <c r="BNQ12" s="104"/>
      <c r="BNR12" s="104"/>
      <c r="BNS12" s="104"/>
      <c r="BNT12" s="104"/>
      <c r="BNU12" s="104"/>
      <c r="BNV12" s="104"/>
      <c r="BNW12" s="104"/>
      <c r="BNX12" s="104"/>
      <c r="BNY12" s="104"/>
      <c r="BNZ12" s="104"/>
      <c r="BOA12" s="104"/>
      <c r="BOB12" s="104"/>
      <c r="BOC12" s="104"/>
      <c r="BOD12" s="104"/>
      <c r="BOE12" s="104"/>
      <c r="BOF12" s="104"/>
      <c r="BOG12" s="104"/>
      <c r="BOH12" s="104"/>
      <c r="BOI12" s="104"/>
      <c r="BOJ12" s="104"/>
      <c r="BOK12" s="104"/>
      <c r="BOL12" s="104"/>
      <c r="BOM12" s="104"/>
      <c r="BON12" s="104"/>
      <c r="BOO12" s="104"/>
      <c r="BOP12" s="104"/>
      <c r="BOQ12" s="104"/>
      <c r="BOR12" s="104"/>
      <c r="BOS12" s="104"/>
      <c r="BOT12" s="104"/>
      <c r="BOU12" s="104"/>
      <c r="BOV12" s="104"/>
      <c r="BOW12" s="104"/>
      <c r="BOX12" s="104"/>
      <c r="BOY12" s="104"/>
      <c r="BOZ12" s="104"/>
      <c r="BPA12" s="104"/>
      <c r="BPB12" s="104"/>
      <c r="BPC12" s="104"/>
      <c r="BPD12" s="104"/>
      <c r="BPE12" s="104"/>
      <c r="BPF12" s="104"/>
      <c r="BPG12" s="104"/>
      <c r="BPH12" s="104"/>
      <c r="BPI12" s="104"/>
      <c r="BPJ12" s="104"/>
      <c r="BPK12" s="104"/>
      <c r="BPL12" s="104"/>
      <c r="BPM12" s="104"/>
      <c r="BPN12" s="104"/>
      <c r="BPO12" s="104"/>
      <c r="BPP12" s="104"/>
      <c r="BPQ12" s="104"/>
      <c r="BPR12" s="104"/>
      <c r="BPS12" s="104"/>
      <c r="BPT12" s="104"/>
      <c r="BPU12" s="104"/>
      <c r="BPV12" s="104"/>
      <c r="BPW12" s="104"/>
      <c r="BPX12" s="104"/>
      <c r="BPY12" s="104"/>
      <c r="BPZ12" s="104"/>
      <c r="BQA12" s="104"/>
      <c r="BQB12" s="104"/>
      <c r="BQC12" s="104"/>
      <c r="BQD12" s="104"/>
      <c r="BQE12" s="104"/>
      <c r="BQF12" s="104"/>
      <c r="BQG12" s="104"/>
      <c r="BQH12" s="104"/>
      <c r="BQI12" s="104"/>
      <c r="BQJ12" s="104"/>
      <c r="BQK12" s="104"/>
      <c r="BQL12" s="104"/>
      <c r="BQM12" s="104"/>
      <c r="BQN12" s="104"/>
      <c r="BQO12" s="104"/>
      <c r="BQP12" s="104"/>
      <c r="BQQ12" s="104"/>
      <c r="BQR12" s="104"/>
      <c r="BQS12" s="104"/>
      <c r="BQT12" s="104"/>
      <c r="BQU12" s="104"/>
      <c r="BQV12" s="104"/>
      <c r="BQW12" s="104"/>
      <c r="BQX12" s="104"/>
      <c r="BQY12" s="104"/>
      <c r="BQZ12" s="104"/>
      <c r="BRA12" s="104"/>
      <c r="BRB12" s="104"/>
      <c r="BRC12" s="104"/>
      <c r="BRD12" s="104"/>
      <c r="BRE12" s="104"/>
      <c r="BRF12" s="104"/>
      <c r="BRG12" s="104"/>
      <c r="BRH12" s="104"/>
      <c r="BRI12" s="104"/>
      <c r="BRJ12" s="104"/>
      <c r="BRK12" s="104"/>
      <c r="BRL12" s="104"/>
      <c r="BRM12" s="104"/>
      <c r="BRN12" s="104"/>
      <c r="BRO12" s="104"/>
      <c r="BRP12" s="104"/>
      <c r="BRQ12" s="104"/>
      <c r="BRR12" s="104"/>
      <c r="BRS12" s="104"/>
      <c r="BRT12" s="104"/>
      <c r="BRU12" s="104"/>
      <c r="BRV12" s="104"/>
      <c r="BRW12" s="104"/>
      <c r="BRX12" s="104"/>
      <c r="BRY12" s="104"/>
      <c r="BRZ12" s="104"/>
      <c r="BSA12" s="104"/>
      <c r="BSB12" s="104"/>
      <c r="BSC12" s="104"/>
      <c r="BSD12" s="104"/>
      <c r="BSE12" s="104"/>
      <c r="BSF12" s="104"/>
      <c r="BSG12" s="104"/>
      <c r="BSH12" s="104"/>
      <c r="BSI12" s="104"/>
      <c r="BSJ12" s="104"/>
      <c r="BSK12" s="104"/>
      <c r="BSL12" s="104"/>
      <c r="BSM12" s="104"/>
      <c r="BSN12" s="104"/>
      <c r="BSO12" s="104"/>
      <c r="BSP12" s="104"/>
      <c r="BSQ12" s="104"/>
      <c r="BSR12" s="104"/>
      <c r="BSS12" s="104"/>
      <c r="BST12" s="104"/>
      <c r="BSU12" s="104"/>
      <c r="BSV12" s="104"/>
      <c r="BSW12" s="104"/>
      <c r="BSX12" s="104"/>
      <c r="BSY12" s="104"/>
      <c r="BSZ12" s="104"/>
      <c r="BTA12" s="104"/>
      <c r="BTB12" s="104"/>
      <c r="BTC12" s="104"/>
      <c r="BTD12" s="104"/>
      <c r="BTE12" s="104"/>
      <c r="BTF12" s="104"/>
      <c r="BTG12" s="104"/>
      <c r="BTH12" s="104"/>
      <c r="BTI12" s="104"/>
      <c r="BTJ12" s="104"/>
      <c r="BTK12" s="104"/>
      <c r="BTL12" s="104"/>
      <c r="BTM12" s="104"/>
      <c r="BTN12" s="104"/>
      <c r="BTO12" s="104"/>
      <c r="BTP12" s="104"/>
      <c r="BTQ12" s="104"/>
      <c r="BTR12" s="104"/>
      <c r="BTS12" s="104"/>
      <c r="BTT12" s="104"/>
      <c r="BTU12" s="104"/>
      <c r="BTV12" s="104"/>
      <c r="BTW12" s="104"/>
      <c r="BTX12" s="104"/>
      <c r="BTY12" s="104"/>
      <c r="BTZ12" s="104"/>
      <c r="BUA12" s="104"/>
      <c r="BUB12" s="104"/>
      <c r="BUC12" s="104"/>
      <c r="BUD12" s="104"/>
      <c r="BUE12" s="104"/>
      <c r="BUF12" s="104"/>
      <c r="BUG12" s="104"/>
      <c r="BUH12" s="104"/>
      <c r="BUI12" s="104"/>
      <c r="BUJ12" s="104"/>
      <c r="BUK12" s="104"/>
      <c r="BUL12" s="104"/>
      <c r="BUM12" s="104"/>
      <c r="BUN12" s="104"/>
      <c r="BUO12" s="104"/>
      <c r="BUP12" s="104"/>
      <c r="BUQ12" s="104"/>
      <c r="BUR12" s="104"/>
      <c r="BUS12" s="104"/>
      <c r="BUT12" s="104"/>
      <c r="BUU12" s="104"/>
      <c r="BUV12" s="104"/>
      <c r="BUW12" s="104"/>
      <c r="BUX12" s="104"/>
      <c r="BUY12" s="104"/>
      <c r="BUZ12" s="104"/>
      <c r="BVA12" s="104"/>
      <c r="BVB12" s="104"/>
      <c r="BVC12" s="104"/>
      <c r="BVD12" s="104"/>
      <c r="BVE12" s="104"/>
      <c r="BVF12" s="104"/>
      <c r="BVG12" s="104"/>
      <c r="BVH12" s="104"/>
      <c r="BVI12" s="104"/>
      <c r="BVJ12" s="104"/>
      <c r="BVK12" s="104"/>
      <c r="BVL12" s="104"/>
      <c r="BVM12" s="104"/>
      <c r="BVN12" s="104"/>
      <c r="BVO12" s="104"/>
      <c r="BVP12" s="104"/>
      <c r="BVQ12" s="104"/>
      <c r="BVR12" s="104"/>
      <c r="BVS12" s="104"/>
      <c r="BVT12" s="104"/>
      <c r="BVU12" s="104"/>
      <c r="BVV12" s="104"/>
      <c r="BVW12" s="104"/>
      <c r="BVX12" s="104"/>
      <c r="BVY12" s="104"/>
      <c r="BVZ12" s="104"/>
      <c r="BWA12" s="104"/>
      <c r="BWB12" s="104"/>
      <c r="BWC12" s="104"/>
      <c r="BWD12" s="104"/>
      <c r="BWE12" s="104"/>
      <c r="BWF12" s="104"/>
      <c r="BWG12" s="104"/>
      <c r="BWH12" s="104"/>
      <c r="BWI12" s="104"/>
      <c r="BWJ12" s="104"/>
      <c r="BWK12" s="104"/>
      <c r="BWL12" s="104"/>
      <c r="BWM12" s="104"/>
      <c r="BWN12" s="104"/>
      <c r="BWO12" s="104"/>
      <c r="BWP12" s="104"/>
      <c r="BWQ12" s="104"/>
      <c r="BWR12" s="104"/>
      <c r="BWS12" s="104"/>
      <c r="BWT12" s="104"/>
      <c r="BWU12" s="104"/>
      <c r="BWV12" s="104"/>
      <c r="BWW12" s="104"/>
      <c r="BWX12" s="104"/>
      <c r="BWY12" s="104"/>
      <c r="BWZ12" s="104"/>
      <c r="BXA12" s="104"/>
      <c r="BXB12" s="104"/>
      <c r="BXC12" s="104"/>
      <c r="BXD12" s="104"/>
      <c r="BXE12" s="104"/>
      <c r="BXF12" s="104"/>
      <c r="BXG12" s="104"/>
      <c r="BXH12" s="104"/>
      <c r="BXI12" s="104"/>
      <c r="BXJ12" s="104"/>
      <c r="BXK12" s="104"/>
      <c r="BXL12" s="104"/>
      <c r="BXM12" s="104"/>
      <c r="BXN12" s="104"/>
      <c r="BXO12" s="104"/>
      <c r="BXP12" s="104"/>
      <c r="BXQ12" s="104"/>
      <c r="BXR12" s="104"/>
      <c r="BXS12" s="104"/>
      <c r="BXT12" s="104"/>
      <c r="BXU12" s="104"/>
      <c r="BXV12" s="104"/>
      <c r="BXW12" s="104"/>
      <c r="BXX12" s="104"/>
      <c r="BXY12" s="104"/>
      <c r="BXZ12" s="104"/>
      <c r="BYA12" s="104"/>
      <c r="BYB12" s="104"/>
      <c r="BYC12" s="104"/>
      <c r="BYD12" s="104"/>
      <c r="BYE12" s="104"/>
      <c r="BYF12" s="104"/>
      <c r="BYG12" s="104"/>
      <c r="BYH12" s="104"/>
      <c r="BYI12" s="104"/>
      <c r="BYJ12" s="104"/>
      <c r="BYK12" s="104"/>
      <c r="BYL12" s="104"/>
      <c r="BYM12" s="104"/>
      <c r="BYN12" s="104"/>
      <c r="BYO12" s="104"/>
      <c r="BYP12" s="104"/>
      <c r="BYQ12" s="104"/>
      <c r="BYR12" s="104"/>
      <c r="BYS12" s="104"/>
      <c r="BYT12" s="104"/>
      <c r="BYU12" s="104"/>
      <c r="BYV12" s="104"/>
      <c r="BYW12" s="104"/>
      <c r="BYX12" s="104"/>
      <c r="BYY12" s="104"/>
      <c r="BYZ12" s="104"/>
      <c r="BZA12" s="104"/>
      <c r="BZB12" s="104"/>
      <c r="BZC12" s="104"/>
      <c r="BZD12" s="104"/>
      <c r="BZE12" s="104"/>
      <c r="BZF12" s="104"/>
      <c r="BZG12" s="104"/>
      <c r="BZH12" s="104"/>
      <c r="BZI12" s="104"/>
      <c r="BZJ12" s="104"/>
      <c r="BZK12" s="104"/>
      <c r="BZL12" s="104"/>
      <c r="BZM12" s="104"/>
      <c r="BZN12" s="104"/>
      <c r="BZO12" s="104"/>
      <c r="BZP12" s="104"/>
      <c r="BZQ12" s="104"/>
      <c r="BZR12" s="104"/>
      <c r="BZS12" s="104"/>
      <c r="BZT12" s="104"/>
      <c r="BZU12" s="104"/>
      <c r="BZV12" s="104"/>
      <c r="BZW12" s="104"/>
      <c r="BZX12" s="104"/>
      <c r="BZY12" s="104"/>
      <c r="BZZ12" s="104"/>
      <c r="CAA12" s="104"/>
      <c r="CAB12" s="104"/>
      <c r="CAC12" s="104"/>
      <c r="CAD12" s="104"/>
      <c r="CAE12" s="104"/>
      <c r="CAF12" s="104"/>
      <c r="CAG12" s="104"/>
      <c r="CAH12" s="104"/>
      <c r="CAI12" s="104"/>
      <c r="CAJ12" s="104"/>
      <c r="CAK12" s="104"/>
      <c r="CAL12" s="104"/>
      <c r="CAM12" s="104"/>
      <c r="CAN12" s="104"/>
      <c r="CAO12" s="104"/>
      <c r="CAP12" s="104"/>
      <c r="CAQ12" s="104"/>
      <c r="CAR12" s="104"/>
      <c r="CAS12" s="104"/>
      <c r="CAT12" s="104"/>
      <c r="CAU12" s="104"/>
      <c r="CAV12" s="104"/>
      <c r="CAW12" s="104"/>
      <c r="CAX12" s="104"/>
      <c r="CAY12" s="104"/>
      <c r="CAZ12" s="104"/>
      <c r="CBA12" s="104"/>
      <c r="CBB12" s="104"/>
      <c r="CBC12" s="104"/>
      <c r="CBD12" s="104"/>
      <c r="CBE12" s="104"/>
      <c r="CBF12" s="104"/>
      <c r="CBG12" s="104"/>
      <c r="CBH12" s="104"/>
      <c r="CBI12" s="104"/>
      <c r="CBJ12" s="104"/>
      <c r="CBK12" s="104"/>
      <c r="CBL12" s="104"/>
      <c r="CBM12" s="104"/>
      <c r="CBN12" s="104"/>
      <c r="CBO12" s="104"/>
      <c r="CBP12" s="104"/>
      <c r="CBQ12" s="104"/>
      <c r="CBR12" s="104"/>
      <c r="CBS12" s="104"/>
      <c r="CBT12" s="104"/>
      <c r="CBU12" s="104"/>
      <c r="CBV12" s="104"/>
      <c r="CBW12" s="104"/>
      <c r="CBX12" s="104"/>
      <c r="CBY12" s="104"/>
      <c r="CBZ12" s="104"/>
      <c r="CCA12" s="104"/>
      <c r="CCB12" s="104"/>
      <c r="CCC12" s="104"/>
      <c r="CCD12" s="104"/>
      <c r="CCE12" s="104"/>
      <c r="CCF12" s="104"/>
      <c r="CCG12" s="104"/>
      <c r="CCH12" s="104"/>
      <c r="CCI12" s="104"/>
      <c r="CCJ12" s="104"/>
      <c r="CCK12" s="104"/>
      <c r="CCL12" s="104"/>
      <c r="CCM12" s="104"/>
      <c r="CCN12" s="104"/>
      <c r="CCO12" s="104"/>
      <c r="CCP12" s="104"/>
      <c r="CCQ12" s="104"/>
      <c r="CCR12" s="104"/>
      <c r="CCS12" s="104"/>
      <c r="CCT12" s="104"/>
      <c r="CCU12" s="104"/>
      <c r="CCV12" s="104"/>
      <c r="CCW12" s="104"/>
      <c r="CCX12" s="104"/>
      <c r="CCY12" s="104"/>
      <c r="CCZ12" s="104"/>
      <c r="CDA12" s="104"/>
      <c r="CDB12" s="104"/>
      <c r="CDC12" s="104"/>
      <c r="CDD12" s="104"/>
      <c r="CDE12" s="104"/>
      <c r="CDF12" s="104"/>
      <c r="CDG12" s="104"/>
      <c r="CDH12" s="104"/>
      <c r="CDI12" s="104"/>
      <c r="CDJ12" s="104"/>
      <c r="CDK12" s="104"/>
      <c r="CDL12" s="104"/>
      <c r="CDM12" s="104"/>
      <c r="CDN12" s="104"/>
      <c r="CDO12" s="104"/>
      <c r="CDP12" s="104"/>
      <c r="CDQ12" s="104"/>
      <c r="CDR12" s="104"/>
      <c r="CDS12" s="104"/>
      <c r="CDT12" s="104"/>
      <c r="CDU12" s="104"/>
      <c r="CDV12" s="104"/>
      <c r="CDW12" s="104"/>
      <c r="CDX12" s="104"/>
      <c r="CDY12" s="104"/>
      <c r="CDZ12" s="104"/>
      <c r="CEA12" s="104"/>
      <c r="CEB12" s="104"/>
      <c r="CEC12" s="104"/>
      <c r="CED12" s="104"/>
      <c r="CEE12" s="104"/>
      <c r="CEF12" s="104"/>
      <c r="CEG12" s="104"/>
      <c r="CEH12" s="104"/>
      <c r="CEI12" s="104"/>
      <c r="CEJ12" s="104"/>
      <c r="CEK12" s="104"/>
    </row>
    <row r="13" spans="1:2169" ht="96" customHeight="1" thickBot="1">
      <c r="A13" s="153">
        <v>3</v>
      </c>
      <c r="B13" s="133"/>
      <c r="C13" s="154"/>
      <c r="D13" s="302"/>
      <c r="E13" s="155" t="s">
        <v>131</v>
      </c>
      <c r="F13" s="156" t="s">
        <v>44</v>
      </c>
      <c r="G13" s="157" t="s">
        <v>263</v>
      </c>
      <c r="H13" s="158" t="s">
        <v>39</v>
      </c>
      <c r="I13" s="159"/>
      <c r="J13" s="160"/>
      <c r="K13" s="161" t="s">
        <v>38</v>
      </c>
      <c r="L13" s="162"/>
      <c r="M13" s="163"/>
      <c r="N13" s="163"/>
      <c r="O13" s="163"/>
      <c r="P13" s="110"/>
      <c r="Q13" s="110"/>
      <c r="R13" s="110"/>
      <c r="S13" s="110"/>
      <c r="T13" s="109"/>
      <c r="U13" s="109"/>
      <c r="V13" s="109"/>
      <c r="W13" s="109"/>
      <c r="X13" s="109"/>
      <c r="Y13" s="109"/>
      <c r="Z13" s="109"/>
      <c r="AA13" s="109"/>
      <c r="AB13" s="109"/>
      <c r="AC13" s="104"/>
    </row>
    <row r="14" spans="1:2169" ht="96" customHeight="1" thickBot="1">
      <c r="A14" s="164">
        <v>4</v>
      </c>
      <c r="B14" s="154"/>
      <c r="C14" s="165"/>
      <c r="D14" s="306" t="s">
        <v>56</v>
      </c>
      <c r="E14" s="149" t="s">
        <v>57</v>
      </c>
      <c r="F14" s="151" t="s">
        <v>451</v>
      </c>
      <c r="G14" s="151" t="s">
        <v>452</v>
      </c>
      <c r="H14" s="166" t="s">
        <v>39</v>
      </c>
      <c r="I14" s="159"/>
      <c r="J14" s="160"/>
      <c r="K14" s="161" t="s">
        <v>38</v>
      </c>
      <c r="L14" s="162"/>
      <c r="M14" s="163"/>
      <c r="N14" s="163"/>
      <c r="O14" s="163"/>
      <c r="P14" s="110"/>
      <c r="Q14" s="110"/>
      <c r="R14" s="110"/>
      <c r="S14" s="110"/>
      <c r="T14" s="109"/>
      <c r="U14" s="109"/>
      <c r="V14" s="109"/>
      <c r="W14" s="109"/>
      <c r="X14" s="109"/>
      <c r="Y14" s="109"/>
      <c r="Z14" s="109"/>
      <c r="AA14" s="109"/>
      <c r="AB14" s="109"/>
      <c r="AC14" s="104"/>
    </row>
    <row r="15" spans="1:2169" ht="96" customHeight="1" thickBot="1">
      <c r="A15" s="139">
        <v>5</v>
      </c>
      <c r="B15" s="154"/>
      <c r="C15" s="165"/>
      <c r="D15" s="307"/>
      <c r="E15" s="149" t="s">
        <v>58</v>
      </c>
      <c r="F15" s="151" t="s">
        <v>453</v>
      </c>
      <c r="G15" s="151" t="s">
        <v>265</v>
      </c>
      <c r="H15" s="166" t="s">
        <v>39</v>
      </c>
      <c r="I15" s="159"/>
      <c r="J15" s="160"/>
      <c r="K15" s="161" t="s">
        <v>38</v>
      </c>
      <c r="L15" s="162"/>
      <c r="M15" s="163"/>
      <c r="N15" s="163"/>
      <c r="O15" s="163"/>
      <c r="P15" s="110"/>
      <c r="Q15" s="110"/>
      <c r="R15" s="110"/>
      <c r="S15" s="110"/>
      <c r="T15" s="109"/>
      <c r="U15" s="109"/>
      <c r="V15" s="109"/>
      <c r="W15" s="109"/>
      <c r="X15" s="109"/>
      <c r="Y15" s="109"/>
      <c r="Z15" s="109"/>
      <c r="AA15" s="109"/>
      <c r="AB15" s="109"/>
      <c r="AC15" s="104"/>
    </row>
    <row r="16" spans="1:2169" ht="63" customHeight="1" thickBot="1">
      <c r="A16" s="153">
        <v>6</v>
      </c>
      <c r="B16" s="133"/>
      <c r="C16" s="167"/>
      <c r="D16" s="307"/>
      <c r="E16" s="152" t="s">
        <v>59</v>
      </c>
      <c r="F16" s="152" t="s">
        <v>456</v>
      </c>
      <c r="G16" s="144" t="s">
        <v>264</v>
      </c>
      <c r="H16" s="158" t="s">
        <v>39</v>
      </c>
      <c r="I16" s="159"/>
      <c r="J16" s="160"/>
      <c r="K16" s="161" t="s">
        <v>38</v>
      </c>
      <c r="L16" s="162"/>
      <c r="M16" s="163"/>
      <c r="N16" s="163"/>
      <c r="O16" s="163"/>
      <c r="P16" s="110"/>
      <c r="Q16" s="110"/>
      <c r="R16" s="110"/>
      <c r="S16" s="110"/>
      <c r="T16" s="109"/>
      <c r="U16" s="109"/>
      <c r="V16" s="109"/>
      <c r="W16" s="109"/>
      <c r="X16" s="109"/>
      <c r="Y16" s="109"/>
      <c r="Z16" s="109"/>
      <c r="AA16" s="109"/>
      <c r="AB16" s="109"/>
      <c r="AC16" s="104"/>
    </row>
    <row r="17" spans="1:29" ht="63" customHeight="1" thickBot="1">
      <c r="A17" s="153">
        <v>7</v>
      </c>
      <c r="B17" s="133"/>
      <c r="C17" s="154"/>
      <c r="D17" s="307"/>
      <c r="E17" s="166" t="s">
        <v>60</v>
      </c>
      <c r="F17" s="166" t="s">
        <v>454</v>
      </c>
      <c r="G17" s="158" t="s">
        <v>266</v>
      </c>
      <c r="H17" s="158" t="s">
        <v>39</v>
      </c>
      <c r="I17" s="159"/>
      <c r="J17" s="160"/>
      <c r="K17" s="161" t="s">
        <v>38</v>
      </c>
      <c r="L17" s="162"/>
      <c r="M17" s="163"/>
      <c r="N17" s="163"/>
      <c r="O17" s="163"/>
      <c r="P17" s="110"/>
      <c r="Q17" s="110"/>
      <c r="R17" s="110"/>
      <c r="S17" s="110"/>
      <c r="T17" s="109"/>
      <c r="U17" s="109"/>
      <c r="V17" s="109"/>
      <c r="W17" s="109"/>
      <c r="X17" s="109"/>
      <c r="Y17" s="109"/>
      <c r="Z17" s="109"/>
      <c r="AA17" s="109"/>
      <c r="AB17" s="109"/>
      <c r="AC17" s="104"/>
    </row>
    <row r="18" spans="1:29" ht="63" customHeight="1" thickBot="1">
      <c r="A18" s="153">
        <v>8</v>
      </c>
      <c r="B18" s="133"/>
      <c r="C18" s="154"/>
      <c r="D18" s="308"/>
      <c r="E18" s="166" t="s">
        <v>267</v>
      </c>
      <c r="F18" s="166" t="s">
        <v>455</v>
      </c>
      <c r="G18" s="158" t="s">
        <v>268</v>
      </c>
      <c r="H18" s="158" t="s">
        <v>39</v>
      </c>
      <c r="I18" s="168"/>
      <c r="J18" s="160"/>
      <c r="K18" s="161" t="s">
        <v>38</v>
      </c>
      <c r="L18" s="162"/>
      <c r="M18" s="163"/>
      <c r="N18" s="163"/>
      <c r="O18" s="163"/>
      <c r="P18" s="110"/>
      <c r="Q18" s="110"/>
      <c r="R18" s="110"/>
      <c r="S18" s="110"/>
      <c r="T18" s="109"/>
      <c r="U18" s="109"/>
      <c r="V18" s="109"/>
      <c r="W18" s="109"/>
      <c r="X18" s="109"/>
      <c r="Y18" s="109"/>
      <c r="Z18" s="109"/>
      <c r="AA18" s="109"/>
      <c r="AB18" s="109"/>
      <c r="AC18" s="104"/>
    </row>
    <row r="19" spans="1:29" ht="63" customHeight="1" thickBot="1">
      <c r="A19" s="153">
        <v>9</v>
      </c>
      <c r="B19" s="133"/>
      <c r="C19" s="154"/>
      <c r="D19" s="303" t="s">
        <v>61</v>
      </c>
      <c r="E19" s="166" t="s">
        <v>62</v>
      </c>
      <c r="F19" s="166" t="s">
        <v>278</v>
      </c>
      <c r="G19" s="158" t="s">
        <v>271</v>
      </c>
      <c r="H19" s="158" t="s">
        <v>39</v>
      </c>
      <c r="I19" s="168"/>
      <c r="J19" s="160"/>
      <c r="K19" s="161" t="s">
        <v>38</v>
      </c>
      <c r="L19" s="162"/>
      <c r="M19" s="163"/>
      <c r="N19" s="163"/>
      <c r="O19" s="163"/>
      <c r="P19" s="110"/>
      <c r="Q19" s="110"/>
      <c r="R19" s="110"/>
      <c r="S19" s="110"/>
      <c r="T19" s="109"/>
      <c r="U19" s="109"/>
      <c r="V19" s="109"/>
      <c r="W19" s="109"/>
      <c r="X19" s="109"/>
      <c r="Y19" s="109"/>
      <c r="Z19" s="109"/>
      <c r="AA19" s="109"/>
      <c r="AB19" s="109"/>
      <c r="AC19" s="104"/>
    </row>
    <row r="20" spans="1:29" ht="63" customHeight="1" thickBot="1">
      <c r="A20" s="153">
        <v>10</v>
      </c>
      <c r="B20" s="133"/>
      <c r="C20" s="154"/>
      <c r="D20" s="304"/>
      <c r="E20" s="166" t="s">
        <v>269</v>
      </c>
      <c r="F20" s="166" t="s">
        <v>280</v>
      </c>
      <c r="G20" s="158" t="s">
        <v>270</v>
      </c>
      <c r="H20" s="158" t="s">
        <v>39</v>
      </c>
      <c r="I20" s="168"/>
      <c r="J20" s="160"/>
      <c r="K20" s="161" t="s">
        <v>38</v>
      </c>
      <c r="L20" s="162"/>
      <c r="M20" s="163"/>
      <c r="N20" s="163"/>
      <c r="O20" s="163"/>
      <c r="P20" s="110"/>
      <c r="Q20" s="110"/>
      <c r="R20" s="110"/>
      <c r="S20" s="110"/>
      <c r="T20" s="109"/>
      <c r="U20" s="109"/>
      <c r="V20" s="109"/>
      <c r="W20" s="109"/>
      <c r="X20" s="109"/>
      <c r="Y20" s="109"/>
      <c r="Z20" s="109"/>
      <c r="AA20" s="109"/>
      <c r="AB20" s="109"/>
      <c r="AC20" s="104"/>
    </row>
    <row r="21" spans="1:29" ht="63" customHeight="1" thickBot="1">
      <c r="A21" s="153">
        <v>11</v>
      </c>
      <c r="B21" s="133"/>
      <c r="C21" s="154"/>
      <c r="D21" s="304"/>
      <c r="E21" s="166" t="s">
        <v>63</v>
      </c>
      <c r="F21" s="166" t="s">
        <v>279</v>
      </c>
      <c r="G21" s="158" t="s">
        <v>272</v>
      </c>
      <c r="H21" s="158" t="s">
        <v>39</v>
      </c>
      <c r="I21" s="168"/>
      <c r="J21" s="160"/>
      <c r="K21" s="161" t="s">
        <v>38</v>
      </c>
      <c r="L21" s="162"/>
      <c r="M21" s="163"/>
      <c r="N21" s="163"/>
      <c r="O21" s="163"/>
      <c r="P21" s="110"/>
      <c r="Q21" s="110"/>
      <c r="R21" s="110"/>
      <c r="S21" s="110"/>
      <c r="T21" s="109"/>
      <c r="U21" s="109"/>
      <c r="V21" s="109"/>
      <c r="W21" s="109"/>
      <c r="X21" s="109"/>
      <c r="Y21" s="109"/>
      <c r="Z21" s="109"/>
      <c r="AA21" s="109"/>
      <c r="AB21" s="109"/>
      <c r="AC21" s="104"/>
    </row>
    <row r="22" spans="1:29" ht="63" customHeight="1" thickBot="1">
      <c r="A22" s="153">
        <v>12</v>
      </c>
      <c r="B22" s="133"/>
      <c r="C22" s="154"/>
      <c r="D22" s="304"/>
      <c r="E22" s="166" t="s">
        <v>64</v>
      </c>
      <c r="F22" s="166" t="s">
        <v>289</v>
      </c>
      <c r="G22" s="158" t="s">
        <v>290</v>
      </c>
      <c r="H22" s="158" t="s">
        <v>489</v>
      </c>
      <c r="I22" s="168"/>
      <c r="J22" s="160"/>
      <c r="K22" s="161" t="s">
        <v>42</v>
      </c>
      <c r="L22" s="162"/>
      <c r="M22" s="163"/>
      <c r="N22" s="163"/>
      <c r="O22" s="163"/>
      <c r="P22" s="110"/>
      <c r="Q22" s="110"/>
      <c r="R22" s="110"/>
      <c r="S22" s="110"/>
      <c r="T22" s="109"/>
      <c r="U22" s="109"/>
      <c r="V22" s="109"/>
      <c r="W22" s="109"/>
      <c r="X22" s="109"/>
      <c r="Y22" s="109"/>
      <c r="Z22" s="109"/>
      <c r="AA22" s="109"/>
      <c r="AB22" s="109"/>
      <c r="AC22" s="104"/>
    </row>
    <row r="23" spans="1:29" ht="63" customHeight="1" thickBot="1">
      <c r="A23" s="153">
        <v>13</v>
      </c>
      <c r="B23" s="133"/>
      <c r="C23" s="154"/>
      <c r="D23" s="304"/>
      <c r="E23" s="166" t="s">
        <v>65</v>
      </c>
      <c r="F23" s="166" t="s">
        <v>291</v>
      </c>
      <c r="G23" s="158" t="s">
        <v>292</v>
      </c>
      <c r="H23" s="158" t="s">
        <v>43</v>
      </c>
      <c r="I23" s="168"/>
      <c r="J23" s="160"/>
      <c r="K23" s="161" t="s">
        <v>38</v>
      </c>
      <c r="L23" s="162"/>
      <c r="M23" s="163"/>
      <c r="N23" s="163"/>
      <c r="O23" s="163"/>
      <c r="P23" s="110"/>
      <c r="Q23" s="110"/>
      <c r="R23" s="110"/>
      <c r="S23" s="110"/>
      <c r="T23" s="109"/>
      <c r="U23" s="109"/>
      <c r="V23" s="109"/>
      <c r="W23" s="109"/>
      <c r="X23" s="109"/>
      <c r="Y23" s="109"/>
      <c r="Z23" s="109"/>
      <c r="AA23" s="109"/>
      <c r="AB23" s="109"/>
      <c r="AC23" s="104"/>
    </row>
    <row r="24" spans="1:29" ht="85.8" customHeight="1" thickBot="1">
      <c r="A24" s="153">
        <v>14</v>
      </c>
      <c r="B24" s="133"/>
      <c r="C24" s="154"/>
      <c r="D24" s="304"/>
      <c r="E24" s="166" t="s">
        <v>66</v>
      </c>
      <c r="F24" s="166" t="s">
        <v>293</v>
      </c>
      <c r="G24" s="158" t="s">
        <v>294</v>
      </c>
      <c r="H24" s="158" t="s">
        <v>39</v>
      </c>
      <c r="I24" s="168"/>
      <c r="J24" s="160"/>
      <c r="K24" s="161" t="s">
        <v>38</v>
      </c>
      <c r="L24" s="162"/>
      <c r="M24" s="163"/>
      <c r="N24" s="163"/>
      <c r="O24" s="163"/>
      <c r="P24" s="110"/>
      <c r="Q24" s="110"/>
      <c r="R24" s="110"/>
      <c r="S24" s="110"/>
      <c r="T24" s="109"/>
      <c r="U24" s="109"/>
      <c r="V24" s="109"/>
      <c r="W24" s="109"/>
      <c r="X24" s="109"/>
      <c r="Y24" s="109"/>
      <c r="Z24" s="109"/>
      <c r="AA24" s="109"/>
      <c r="AB24" s="109"/>
      <c r="AC24" s="104"/>
    </row>
    <row r="25" spans="1:29" ht="85.8" customHeight="1" thickBot="1">
      <c r="A25" s="153">
        <v>15</v>
      </c>
      <c r="B25" s="133"/>
      <c r="C25" s="154"/>
      <c r="D25" s="304"/>
      <c r="E25" s="166" t="s">
        <v>67</v>
      </c>
      <c r="F25" s="166" t="s">
        <v>297</v>
      </c>
      <c r="G25" s="158" t="s">
        <v>295</v>
      </c>
      <c r="H25" s="158" t="s">
        <v>489</v>
      </c>
      <c r="I25" s="168"/>
      <c r="J25" s="160"/>
      <c r="K25" s="161" t="s">
        <v>42</v>
      </c>
      <c r="L25" s="162"/>
      <c r="M25" s="163"/>
      <c r="N25" s="163"/>
      <c r="O25" s="163"/>
      <c r="P25" s="110"/>
      <c r="Q25" s="110"/>
      <c r="R25" s="110"/>
      <c r="S25" s="110"/>
      <c r="T25" s="109"/>
      <c r="U25" s="109"/>
      <c r="V25" s="109"/>
      <c r="W25" s="109"/>
      <c r="X25" s="109"/>
      <c r="Y25" s="109"/>
      <c r="Z25" s="109"/>
      <c r="AA25" s="109"/>
      <c r="AB25" s="109"/>
      <c r="AC25" s="104"/>
    </row>
    <row r="26" spans="1:29" ht="85.8" customHeight="1" thickBot="1">
      <c r="A26" s="153">
        <v>16</v>
      </c>
      <c r="B26" s="133"/>
      <c r="C26" s="154"/>
      <c r="D26" s="304"/>
      <c r="E26" s="166" t="s">
        <v>68</v>
      </c>
      <c r="F26" s="166" t="s">
        <v>298</v>
      </c>
      <c r="G26" s="158" t="s">
        <v>296</v>
      </c>
      <c r="H26" s="158" t="s">
        <v>499</v>
      </c>
      <c r="I26" s="168"/>
      <c r="J26" s="160"/>
      <c r="K26" s="161" t="s">
        <v>38</v>
      </c>
      <c r="L26" s="162"/>
      <c r="M26" s="163"/>
      <c r="N26" s="163"/>
      <c r="O26" s="163"/>
      <c r="P26" s="110"/>
      <c r="Q26" s="110"/>
      <c r="R26" s="110"/>
      <c r="S26" s="110"/>
      <c r="T26" s="109"/>
      <c r="U26" s="109"/>
      <c r="V26" s="109"/>
      <c r="W26" s="109"/>
      <c r="X26" s="109"/>
      <c r="Y26" s="109"/>
      <c r="Z26" s="109"/>
      <c r="AA26" s="109"/>
      <c r="AB26" s="109"/>
      <c r="AC26" s="104"/>
    </row>
    <row r="27" spans="1:29" ht="85.8" customHeight="1" thickBot="1">
      <c r="A27" s="153">
        <v>17</v>
      </c>
      <c r="B27" s="133"/>
      <c r="C27" s="154"/>
      <c r="D27" s="304"/>
      <c r="E27" s="166" t="s">
        <v>281</v>
      </c>
      <c r="F27" s="166" t="s">
        <v>282</v>
      </c>
      <c r="G27" s="158" t="s">
        <v>283</v>
      </c>
      <c r="H27" s="158" t="s">
        <v>499</v>
      </c>
      <c r="I27" s="168"/>
      <c r="J27" s="160"/>
      <c r="K27" s="161" t="s">
        <v>38</v>
      </c>
      <c r="L27" s="162"/>
      <c r="M27" s="163"/>
      <c r="N27" s="163"/>
      <c r="O27" s="163"/>
      <c r="P27" s="110"/>
      <c r="Q27" s="110"/>
      <c r="R27" s="110"/>
      <c r="S27" s="110"/>
      <c r="T27" s="109"/>
      <c r="U27" s="109"/>
      <c r="V27" s="109"/>
      <c r="W27" s="109"/>
      <c r="X27" s="109"/>
      <c r="Y27" s="109"/>
      <c r="Z27" s="109"/>
      <c r="AA27" s="109"/>
      <c r="AB27" s="109"/>
      <c r="AC27" s="104"/>
    </row>
    <row r="28" spans="1:29" ht="85.8" customHeight="1" thickBot="1">
      <c r="A28" s="153">
        <v>18</v>
      </c>
      <c r="B28" s="133"/>
      <c r="C28" s="154"/>
      <c r="D28" s="304"/>
      <c r="E28" s="166" t="s">
        <v>286</v>
      </c>
      <c r="F28" s="166" t="s">
        <v>287</v>
      </c>
      <c r="G28" s="158" t="s">
        <v>288</v>
      </c>
      <c r="H28" s="158" t="s">
        <v>500</v>
      </c>
      <c r="I28" s="168"/>
      <c r="J28" s="160"/>
      <c r="K28" s="161" t="s">
        <v>42</v>
      </c>
      <c r="L28" s="162"/>
      <c r="M28" s="163"/>
      <c r="N28" s="163"/>
      <c r="O28" s="163"/>
      <c r="P28" s="110"/>
      <c r="Q28" s="110"/>
      <c r="R28" s="110"/>
      <c r="S28" s="110"/>
      <c r="T28" s="109"/>
      <c r="U28" s="109"/>
      <c r="V28" s="109"/>
      <c r="W28" s="109"/>
      <c r="X28" s="109"/>
      <c r="Y28" s="109"/>
      <c r="Z28" s="109"/>
      <c r="AA28" s="109"/>
      <c r="AB28" s="109"/>
      <c r="AC28" s="104"/>
    </row>
    <row r="29" spans="1:29" ht="85.8" customHeight="1" thickBot="1">
      <c r="A29" s="153">
        <v>19</v>
      </c>
      <c r="B29" s="133"/>
      <c r="C29" s="154"/>
      <c r="D29" s="304"/>
      <c r="E29" s="166" t="s">
        <v>285</v>
      </c>
      <c r="F29" s="166" t="s">
        <v>284</v>
      </c>
      <c r="G29" s="158" t="s">
        <v>283</v>
      </c>
      <c r="H29" s="158" t="s">
        <v>500</v>
      </c>
      <c r="I29" s="168"/>
      <c r="J29" s="160"/>
      <c r="K29" s="161" t="s">
        <v>501</v>
      </c>
      <c r="L29" s="162"/>
      <c r="M29" s="163"/>
      <c r="N29" s="163"/>
      <c r="O29" s="163"/>
      <c r="P29" s="110"/>
      <c r="Q29" s="110"/>
      <c r="R29" s="110"/>
      <c r="S29" s="110"/>
      <c r="T29" s="109"/>
      <c r="U29" s="109"/>
      <c r="V29" s="109"/>
      <c r="W29" s="109"/>
      <c r="X29" s="109"/>
      <c r="Y29" s="109"/>
      <c r="Z29" s="109"/>
      <c r="AA29" s="109"/>
      <c r="AB29" s="109"/>
      <c r="AC29" s="104"/>
    </row>
    <row r="30" spans="1:29" ht="102.6" customHeight="1" thickBot="1">
      <c r="A30" s="153">
        <v>20</v>
      </c>
      <c r="B30" s="133"/>
      <c r="C30" s="154"/>
      <c r="D30" s="304"/>
      <c r="E30" s="166" t="s">
        <v>275</v>
      </c>
      <c r="F30" s="166" t="s">
        <v>276</v>
      </c>
      <c r="G30" s="158" t="s">
        <v>277</v>
      </c>
      <c r="H30" s="158" t="s">
        <v>43</v>
      </c>
      <c r="I30" s="168"/>
      <c r="J30" s="160"/>
      <c r="K30" s="161" t="s">
        <v>38</v>
      </c>
      <c r="L30" s="162"/>
      <c r="M30" s="163"/>
      <c r="N30" s="163"/>
      <c r="O30" s="163"/>
      <c r="P30" s="110"/>
      <c r="Q30" s="110"/>
      <c r="R30" s="110"/>
      <c r="S30" s="110"/>
      <c r="T30" s="109"/>
      <c r="U30" s="109"/>
      <c r="V30" s="109"/>
      <c r="W30" s="109"/>
      <c r="X30" s="109"/>
      <c r="Y30" s="109"/>
      <c r="Z30" s="109"/>
      <c r="AA30" s="109"/>
      <c r="AB30" s="109"/>
      <c r="AC30" s="104"/>
    </row>
    <row r="31" spans="1:29" ht="102.6" customHeight="1" thickBot="1">
      <c r="A31" s="153">
        <v>21</v>
      </c>
      <c r="B31" s="133"/>
      <c r="C31" s="154"/>
      <c r="D31" s="304"/>
      <c r="E31" s="166" t="s">
        <v>69</v>
      </c>
      <c r="F31" s="166" t="s">
        <v>299</v>
      </c>
      <c r="G31" s="158" t="s">
        <v>300</v>
      </c>
      <c r="H31" s="158" t="s">
        <v>39</v>
      </c>
      <c r="I31" s="168"/>
      <c r="J31" s="160"/>
      <c r="K31" s="161" t="s">
        <v>38</v>
      </c>
      <c r="L31" s="162"/>
      <c r="M31" s="163"/>
      <c r="N31" s="163"/>
      <c r="O31" s="163"/>
      <c r="P31" s="110"/>
      <c r="Q31" s="110"/>
      <c r="R31" s="110"/>
      <c r="S31" s="110"/>
      <c r="T31" s="109"/>
      <c r="U31" s="109"/>
      <c r="V31" s="109"/>
      <c r="W31" s="109"/>
      <c r="X31" s="109"/>
      <c r="Y31" s="109"/>
      <c r="Z31" s="109"/>
      <c r="AA31" s="109"/>
      <c r="AB31" s="109"/>
      <c r="AC31" s="104"/>
    </row>
    <row r="32" spans="1:29" ht="102.6" customHeight="1" thickBot="1">
      <c r="A32" s="153">
        <v>22</v>
      </c>
      <c r="B32" s="133"/>
      <c r="C32" s="154"/>
      <c r="D32" s="304"/>
      <c r="E32" s="166" t="s">
        <v>70</v>
      </c>
      <c r="F32" s="166" t="s">
        <v>301</v>
      </c>
      <c r="G32" s="158" t="s">
        <v>302</v>
      </c>
      <c r="H32" s="158" t="s">
        <v>39</v>
      </c>
      <c r="I32" s="168"/>
      <c r="J32" s="160"/>
      <c r="K32" s="161" t="s">
        <v>38</v>
      </c>
      <c r="L32" s="162"/>
      <c r="M32" s="163"/>
      <c r="N32" s="163"/>
      <c r="O32" s="163"/>
      <c r="P32" s="110"/>
      <c r="Q32" s="110"/>
      <c r="R32" s="110"/>
      <c r="S32" s="110"/>
      <c r="T32" s="109"/>
      <c r="U32" s="109"/>
      <c r="V32" s="109"/>
      <c r="W32" s="109"/>
      <c r="X32" s="109"/>
      <c r="Y32" s="109"/>
      <c r="Z32" s="109"/>
      <c r="AA32" s="109"/>
      <c r="AB32" s="109"/>
      <c r="AC32" s="104"/>
    </row>
    <row r="33" spans="1:29" ht="102.6" customHeight="1" thickBot="1">
      <c r="A33" s="153">
        <v>23</v>
      </c>
      <c r="B33" s="133"/>
      <c r="C33" s="154"/>
      <c r="D33" s="305"/>
      <c r="E33" s="169" t="s">
        <v>71</v>
      </c>
      <c r="F33" s="169" t="s">
        <v>303</v>
      </c>
      <c r="G33" s="158" t="s">
        <v>304</v>
      </c>
      <c r="H33" s="158" t="s">
        <v>39</v>
      </c>
      <c r="I33" s="168"/>
      <c r="J33" s="160"/>
      <c r="K33" s="161" t="s">
        <v>38</v>
      </c>
      <c r="L33" s="162"/>
      <c r="M33" s="163"/>
      <c r="N33" s="163"/>
      <c r="O33" s="163"/>
      <c r="P33" s="110"/>
      <c r="Q33" s="110"/>
      <c r="R33" s="110"/>
      <c r="S33" s="110"/>
      <c r="T33" s="109"/>
      <c r="U33" s="109"/>
      <c r="V33" s="109"/>
      <c r="W33" s="109"/>
      <c r="X33" s="109"/>
      <c r="Y33" s="109"/>
      <c r="Z33" s="109"/>
      <c r="AA33" s="109"/>
      <c r="AB33" s="109"/>
      <c r="AC33" s="104"/>
    </row>
    <row r="34" spans="1:29" ht="102.6" customHeight="1" thickBot="1">
      <c r="A34" s="153">
        <v>24</v>
      </c>
      <c r="B34" s="154"/>
      <c r="C34" s="165"/>
      <c r="D34" s="299" t="s">
        <v>72</v>
      </c>
      <c r="E34" s="149" t="s">
        <v>73</v>
      </c>
      <c r="F34" s="151" t="s">
        <v>426</v>
      </c>
      <c r="G34" s="166" t="s">
        <v>487</v>
      </c>
      <c r="H34" s="158" t="s">
        <v>39</v>
      </c>
      <c r="I34" s="168"/>
      <c r="J34" s="160"/>
      <c r="K34" s="161" t="s">
        <v>38</v>
      </c>
      <c r="L34" s="162"/>
      <c r="M34" s="163"/>
      <c r="N34" s="163"/>
      <c r="O34" s="163"/>
      <c r="P34" s="110"/>
      <c r="Q34" s="110"/>
      <c r="R34" s="110"/>
      <c r="S34" s="110"/>
      <c r="T34" s="109"/>
      <c r="U34" s="109"/>
      <c r="V34" s="109"/>
      <c r="W34" s="109"/>
      <c r="X34" s="109"/>
      <c r="Y34" s="109"/>
      <c r="Z34" s="109"/>
      <c r="AA34" s="109"/>
      <c r="AB34" s="109"/>
      <c r="AC34" s="104"/>
    </row>
    <row r="35" spans="1:29" ht="102.6" customHeight="1" thickBot="1">
      <c r="A35" s="153">
        <v>25</v>
      </c>
      <c r="B35" s="133"/>
      <c r="C35" s="167"/>
      <c r="D35" s="300"/>
      <c r="E35" s="152" t="s">
        <v>74</v>
      </c>
      <c r="F35" s="152" t="s">
        <v>486</v>
      </c>
      <c r="G35" s="158" t="s">
        <v>488</v>
      </c>
      <c r="H35" s="158" t="s">
        <v>489</v>
      </c>
      <c r="I35" s="170" t="s">
        <v>494</v>
      </c>
      <c r="J35" s="160"/>
      <c r="K35" s="161" t="s">
        <v>42</v>
      </c>
      <c r="L35" s="162"/>
      <c r="M35" s="163"/>
      <c r="N35" s="163"/>
      <c r="O35" s="163"/>
      <c r="P35" s="110"/>
      <c r="Q35" s="110"/>
      <c r="R35" s="110"/>
      <c r="S35" s="110"/>
      <c r="T35" s="109"/>
      <c r="U35" s="109"/>
      <c r="V35" s="109"/>
      <c r="W35" s="109"/>
      <c r="X35" s="109"/>
      <c r="Y35" s="109"/>
      <c r="Z35" s="109"/>
      <c r="AA35" s="109"/>
      <c r="AB35" s="109"/>
      <c r="AC35" s="104"/>
    </row>
    <row r="36" spans="1:29" ht="102.6" customHeight="1" thickBot="1">
      <c r="A36" s="153">
        <v>26</v>
      </c>
      <c r="B36" s="133"/>
      <c r="C36" s="154"/>
      <c r="D36" s="300"/>
      <c r="E36" s="166" t="s">
        <v>485</v>
      </c>
      <c r="F36" s="166" t="s">
        <v>430</v>
      </c>
      <c r="G36" s="158" t="s">
        <v>487</v>
      </c>
      <c r="H36" s="158" t="s">
        <v>39</v>
      </c>
      <c r="I36" s="168"/>
      <c r="J36" s="160"/>
      <c r="K36" s="161" t="s">
        <v>38</v>
      </c>
      <c r="L36" s="162"/>
      <c r="M36" s="163"/>
      <c r="N36" s="163"/>
      <c r="O36" s="163"/>
      <c r="P36" s="110"/>
      <c r="Q36" s="110"/>
      <c r="R36" s="110"/>
      <c r="S36" s="110"/>
      <c r="T36" s="109"/>
      <c r="U36" s="109"/>
      <c r="V36" s="109"/>
      <c r="W36" s="109"/>
      <c r="X36" s="109"/>
      <c r="Y36" s="109"/>
      <c r="Z36" s="109"/>
      <c r="AA36" s="109"/>
      <c r="AB36" s="109"/>
      <c r="AC36" s="104"/>
    </row>
    <row r="37" spans="1:29" ht="102.6" customHeight="1" thickBot="1">
      <c r="A37" s="153">
        <v>27</v>
      </c>
      <c r="B37" s="133"/>
      <c r="C37" s="154"/>
      <c r="D37" s="300"/>
      <c r="E37" s="166" t="s">
        <v>75</v>
      </c>
      <c r="F37" s="166" t="s">
        <v>490</v>
      </c>
      <c r="G37" s="158" t="s">
        <v>491</v>
      </c>
      <c r="H37" s="158" t="s">
        <v>39</v>
      </c>
      <c r="I37" s="168"/>
      <c r="J37" s="160"/>
      <c r="K37" s="161" t="s">
        <v>38</v>
      </c>
      <c r="L37" s="162"/>
      <c r="M37" s="163"/>
      <c r="N37" s="163"/>
      <c r="O37" s="163"/>
      <c r="P37" s="110"/>
      <c r="Q37" s="110"/>
      <c r="R37" s="110"/>
      <c r="S37" s="110"/>
      <c r="T37" s="109"/>
      <c r="U37" s="109"/>
      <c r="V37" s="109"/>
      <c r="W37" s="109"/>
      <c r="X37" s="109"/>
      <c r="Y37" s="109"/>
      <c r="Z37" s="109"/>
      <c r="AA37" s="109"/>
      <c r="AB37" s="109"/>
      <c r="AC37" s="104"/>
    </row>
    <row r="38" spans="1:29" ht="102.6" customHeight="1" thickBot="1">
      <c r="A38" s="153">
        <v>28</v>
      </c>
      <c r="B38" s="133"/>
      <c r="C38" s="154"/>
      <c r="D38" s="300"/>
      <c r="E38" s="166" t="s">
        <v>305</v>
      </c>
      <c r="F38" s="166" t="s">
        <v>428</v>
      </c>
      <c r="G38" s="158" t="s">
        <v>429</v>
      </c>
      <c r="H38" s="158" t="s">
        <v>43</v>
      </c>
      <c r="I38" s="168"/>
      <c r="J38" s="160"/>
      <c r="K38" s="161" t="s">
        <v>503</v>
      </c>
      <c r="L38" s="162"/>
      <c r="M38" s="163"/>
      <c r="N38" s="163"/>
      <c r="O38" s="163"/>
      <c r="P38" s="110"/>
      <c r="Q38" s="110"/>
      <c r="R38" s="110"/>
      <c r="S38" s="110"/>
      <c r="T38" s="109"/>
      <c r="U38" s="109"/>
      <c r="V38" s="109"/>
      <c r="W38" s="109"/>
      <c r="X38" s="109"/>
      <c r="Y38" s="109"/>
      <c r="Z38" s="109"/>
      <c r="AA38" s="109"/>
      <c r="AB38" s="109"/>
      <c r="AC38" s="104"/>
    </row>
    <row r="39" spans="1:29" ht="102.6" customHeight="1" thickBot="1">
      <c r="A39" s="153">
        <v>29</v>
      </c>
      <c r="B39" s="133"/>
      <c r="C39" s="154"/>
      <c r="D39" s="300"/>
      <c r="E39" s="166" t="s">
        <v>40</v>
      </c>
      <c r="F39" s="166" t="s">
        <v>492</v>
      </c>
      <c r="G39" s="158" t="s">
        <v>493</v>
      </c>
      <c r="H39" s="158" t="s">
        <v>39</v>
      </c>
      <c r="I39" s="168"/>
      <c r="J39" s="160"/>
      <c r="K39" s="161" t="s">
        <v>38</v>
      </c>
      <c r="L39" s="162"/>
      <c r="M39" s="163"/>
      <c r="N39" s="163"/>
      <c r="O39" s="163"/>
      <c r="P39" s="110"/>
      <c r="Q39" s="110"/>
      <c r="R39" s="110"/>
      <c r="S39" s="110"/>
      <c r="T39" s="109"/>
      <c r="U39" s="109"/>
      <c r="V39" s="109"/>
      <c r="W39" s="109"/>
      <c r="X39" s="109"/>
      <c r="Y39" s="109"/>
      <c r="Z39" s="109"/>
      <c r="AA39" s="109"/>
      <c r="AB39" s="109"/>
      <c r="AC39" s="104"/>
    </row>
    <row r="40" spans="1:29" ht="102.6" customHeight="1" thickBot="1">
      <c r="A40" s="153">
        <v>30</v>
      </c>
      <c r="B40" s="133"/>
      <c r="C40" s="268"/>
      <c r="D40" s="300"/>
      <c r="E40" s="166" t="s">
        <v>76</v>
      </c>
      <c r="F40" s="166" t="s">
        <v>291</v>
      </c>
      <c r="G40" s="158" t="s">
        <v>427</v>
      </c>
      <c r="H40" s="158" t="s">
        <v>39</v>
      </c>
      <c r="I40" s="168"/>
      <c r="J40" s="160"/>
      <c r="K40" s="161" t="s">
        <v>38</v>
      </c>
      <c r="L40" s="162"/>
      <c r="M40" s="163"/>
      <c r="N40" s="163"/>
      <c r="O40" s="163"/>
      <c r="P40" s="110"/>
      <c r="Q40" s="110"/>
      <c r="R40" s="110"/>
      <c r="S40" s="110"/>
      <c r="T40" s="109"/>
      <c r="U40" s="109"/>
      <c r="V40" s="109"/>
      <c r="W40" s="109"/>
      <c r="X40" s="109"/>
      <c r="Y40" s="109"/>
      <c r="Z40" s="109"/>
      <c r="AA40" s="109"/>
      <c r="AB40" s="109"/>
      <c r="AC40" s="104"/>
    </row>
    <row r="41" spans="1:29" ht="102.6" customHeight="1" thickBot="1">
      <c r="A41" s="153">
        <v>31</v>
      </c>
      <c r="B41" s="133"/>
      <c r="C41" s="133"/>
      <c r="D41" s="294" t="s">
        <v>77</v>
      </c>
      <c r="E41" s="171" t="s">
        <v>414</v>
      </c>
      <c r="F41" s="171" t="s">
        <v>424</v>
      </c>
      <c r="G41" s="171" t="s">
        <v>425</v>
      </c>
      <c r="H41" s="171" t="s">
        <v>39</v>
      </c>
      <c r="I41" s="172"/>
      <c r="J41" s="173"/>
      <c r="K41" s="174" t="s">
        <v>38</v>
      </c>
      <c r="L41" s="175"/>
      <c r="M41" s="176"/>
      <c r="N41" s="176"/>
      <c r="O41" s="176"/>
      <c r="P41" s="111"/>
      <c r="Q41" s="111"/>
      <c r="R41" s="111"/>
      <c r="S41" s="111"/>
      <c r="T41" s="112"/>
      <c r="U41" s="112"/>
      <c r="V41" s="112"/>
      <c r="W41" s="112"/>
      <c r="X41" s="112"/>
      <c r="Y41" s="112"/>
      <c r="Z41" s="112"/>
      <c r="AA41" s="112"/>
      <c r="AB41" s="112"/>
      <c r="AC41" s="104"/>
    </row>
    <row r="42" spans="1:29" ht="72.599999999999994" customHeight="1" thickBot="1">
      <c r="A42" s="153">
        <v>32</v>
      </c>
      <c r="B42" s="133"/>
      <c r="C42" s="133"/>
      <c r="D42" s="295"/>
      <c r="E42" s="171" t="s">
        <v>78</v>
      </c>
      <c r="F42" s="171" t="s">
        <v>431</v>
      </c>
      <c r="G42" s="158" t="s">
        <v>432</v>
      </c>
      <c r="H42" s="171" t="s">
        <v>39</v>
      </c>
      <c r="I42" s="172"/>
      <c r="J42" s="173"/>
      <c r="K42" s="174" t="s">
        <v>38</v>
      </c>
      <c r="L42" s="177"/>
      <c r="M42" s="176"/>
      <c r="N42" s="176"/>
      <c r="O42" s="176"/>
      <c r="P42" s="111"/>
      <c r="Q42" s="111"/>
      <c r="R42" s="111"/>
      <c r="S42" s="111"/>
      <c r="T42" s="112"/>
      <c r="U42" s="112"/>
      <c r="V42" s="112"/>
      <c r="W42" s="112"/>
      <c r="X42" s="112"/>
      <c r="Y42" s="112"/>
      <c r="Z42" s="112"/>
      <c r="AA42" s="112"/>
      <c r="AB42" s="112"/>
      <c r="AC42" s="104"/>
    </row>
    <row r="43" spans="1:29" ht="72.599999999999994" customHeight="1" thickBot="1">
      <c r="A43" s="153">
        <v>33</v>
      </c>
      <c r="B43" s="133"/>
      <c r="C43" s="133"/>
      <c r="D43" s="295"/>
      <c r="E43" s="171" t="s">
        <v>79</v>
      </c>
      <c r="F43" s="171" t="s">
        <v>433</v>
      </c>
      <c r="G43" s="158" t="s">
        <v>434</v>
      </c>
      <c r="H43" s="171" t="s">
        <v>39</v>
      </c>
      <c r="I43" s="178"/>
      <c r="J43" s="173"/>
      <c r="K43" s="174" t="s">
        <v>38</v>
      </c>
      <c r="L43" s="177"/>
      <c r="M43" s="176"/>
      <c r="N43" s="176"/>
      <c r="O43" s="176"/>
      <c r="P43" s="111"/>
      <c r="Q43" s="111"/>
      <c r="R43" s="111"/>
      <c r="S43" s="111"/>
      <c r="T43" s="112"/>
      <c r="U43" s="112"/>
      <c r="V43" s="112"/>
      <c r="W43" s="112"/>
      <c r="X43" s="112"/>
      <c r="Y43" s="112"/>
      <c r="Z43" s="112"/>
      <c r="AA43" s="112"/>
      <c r="AB43" s="112"/>
      <c r="AC43" s="104"/>
    </row>
    <row r="44" spans="1:29" ht="72.599999999999994" customHeight="1" thickBot="1">
      <c r="A44" s="153">
        <v>34</v>
      </c>
      <c r="B44" s="133"/>
      <c r="C44" s="133"/>
      <c r="D44" s="295"/>
      <c r="E44" s="179" t="s">
        <v>80</v>
      </c>
      <c r="F44" s="179" t="s">
        <v>435</v>
      </c>
      <c r="G44" s="158" t="s">
        <v>438</v>
      </c>
      <c r="H44" s="171" t="s">
        <v>41</v>
      </c>
      <c r="I44" s="178"/>
      <c r="J44" s="173"/>
      <c r="K44" s="180" t="s">
        <v>42</v>
      </c>
      <c r="L44" s="177"/>
      <c r="M44" s="176"/>
      <c r="N44" s="176"/>
      <c r="O44" s="176"/>
      <c r="P44" s="111"/>
      <c r="Q44" s="111"/>
      <c r="R44" s="111"/>
      <c r="S44" s="111"/>
      <c r="T44" s="112"/>
      <c r="U44" s="112"/>
      <c r="V44" s="112"/>
      <c r="W44" s="112"/>
      <c r="X44" s="112"/>
      <c r="Y44" s="112"/>
      <c r="Z44" s="112"/>
      <c r="AA44" s="112"/>
      <c r="AB44" s="112"/>
      <c r="AC44" s="104"/>
    </row>
    <row r="45" spans="1:29" s="61" customFormat="1" ht="72.599999999999994" customHeight="1" thickBot="1">
      <c r="A45" s="153">
        <v>35</v>
      </c>
      <c r="B45" s="133"/>
      <c r="C45" s="133"/>
      <c r="D45" s="295"/>
      <c r="E45" s="181" t="s">
        <v>502</v>
      </c>
      <c r="F45" s="181" t="s">
        <v>441</v>
      </c>
      <c r="G45" s="135" t="s">
        <v>442</v>
      </c>
      <c r="H45" s="182" t="s">
        <v>39</v>
      </c>
      <c r="I45" s="183"/>
      <c r="J45" s="186"/>
      <c r="K45" s="184" t="s">
        <v>38</v>
      </c>
      <c r="L45" s="185"/>
      <c r="M45" s="176"/>
      <c r="N45" s="176"/>
      <c r="O45" s="176"/>
      <c r="P45" s="111"/>
      <c r="Q45" s="111"/>
      <c r="R45" s="111"/>
      <c r="S45" s="111"/>
      <c r="T45" s="112"/>
      <c r="U45" s="112"/>
      <c r="V45" s="112"/>
      <c r="W45" s="112"/>
      <c r="X45" s="112"/>
      <c r="Y45" s="112"/>
      <c r="Z45" s="112"/>
      <c r="AA45" s="112"/>
      <c r="AB45" s="112"/>
      <c r="AC45" s="104"/>
    </row>
    <row r="46" spans="1:29" ht="72.599999999999994" customHeight="1" thickBot="1">
      <c r="A46" s="153">
        <v>36</v>
      </c>
      <c r="B46" s="133"/>
      <c r="C46" s="133"/>
      <c r="D46" s="295"/>
      <c r="E46" s="182" t="s">
        <v>81</v>
      </c>
      <c r="F46" s="182" t="s">
        <v>436</v>
      </c>
      <c r="G46" s="135" t="s">
        <v>437</v>
      </c>
      <c r="H46" s="182" t="s">
        <v>41</v>
      </c>
      <c r="I46" s="183"/>
      <c r="J46" s="186"/>
      <c r="K46" s="184" t="s">
        <v>42</v>
      </c>
      <c r="L46" s="185"/>
      <c r="M46" s="176"/>
      <c r="N46" s="176"/>
      <c r="O46" s="176"/>
      <c r="P46" s="111"/>
      <c r="Q46" s="111"/>
      <c r="R46" s="111"/>
      <c r="S46" s="111"/>
      <c r="T46" s="112"/>
      <c r="U46" s="112"/>
      <c r="V46" s="112"/>
      <c r="W46" s="112"/>
      <c r="X46" s="112"/>
      <c r="Y46" s="112"/>
      <c r="Z46" s="112"/>
      <c r="AA46" s="112"/>
      <c r="AB46" s="112"/>
      <c r="AC46" s="104"/>
    </row>
    <row r="47" spans="1:29" ht="72.599999999999994" customHeight="1" thickBot="1">
      <c r="A47" s="187">
        <v>37</v>
      </c>
      <c r="B47" s="188"/>
      <c r="C47" s="188"/>
      <c r="D47" s="295"/>
      <c r="E47" s="189" t="s">
        <v>82</v>
      </c>
      <c r="F47" s="189" t="s">
        <v>439</v>
      </c>
      <c r="G47" s="158" t="s">
        <v>440</v>
      </c>
      <c r="H47" s="171" t="s">
        <v>41</v>
      </c>
      <c r="I47" s="190"/>
      <c r="J47" s="173"/>
      <c r="K47" s="180" t="s">
        <v>42</v>
      </c>
      <c r="L47" s="177"/>
      <c r="M47" s="176"/>
      <c r="N47" s="176"/>
      <c r="O47" s="176"/>
      <c r="P47" s="111"/>
      <c r="Q47" s="111"/>
      <c r="R47" s="111"/>
      <c r="S47" s="111"/>
      <c r="T47" s="112"/>
      <c r="U47" s="112"/>
      <c r="V47" s="112"/>
      <c r="W47" s="112"/>
      <c r="X47" s="112"/>
      <c r="Y47" s="112"/>
      <c r="Z47" s="112"/>
      <c r="AA47" s="112"/>
      <c r="AB47" s="112"/>
      <c r="AC47" s="104"/>
    </row>
    <row r="48" spans="1:29" ht="72.599999999999994" customHeight="1" thickBot="1">
      <c r="A48" s="139">
        <v>38</v>
      </c>
      <c r="B48" s="140"/>
      <c r="C48" s="140"/>
      <c r="D48" s="295"/>
      <c r="E48" s="191" t="s">
        <v>83</v>
      </c>
      <c r="F48" s="191" t="s">
        <v>495</v>
      </c>
      <c r="G48" s="143" t="s">
        <v>496</v>
      </c>
      <c r="H48" s="191" t="s">
        <v>43</v>
      </c>
      <c r="I48" s="192"/>
      <c r="J48" s="193"/>
      <c r="K48" s="194" t="s">
        <v>38</v>
      </c>
      <c r="L48" s="195"/>
      <c r="M48" s="176"/>
      <c r="N48" s="176"/>
      <c r="O48" s="176"/>
      <c r="P48" s="111"/>
      <c r="Q48" s="111"/>
      <c r="R48" s="111"/>
      <c r="S48" s="111"/>
      <c r="T48" s="112"/>
      <c r="U48" s="112"/>
      <c r="V48" s="112"/>
      <c r="W48" s="112"/>
      <c r="X48" s="112"/>
      <c r="Y48" s="112"/>
      <c r="Z48" s="112"/>
      <c r="AA48" s="112"/>
      <c r="AB48" s="112"/>
      <c r="AC48" s="104"/>
    </row>
    <row r="49" spans="1:29" ht="72.599999999999994" customHeight="1" thickBot="1">
      <c r="A49" s="196">
        <v>39</v>
      </c>
      <c r="B49" s="197"/>
      <c r="C49" s="197"/>
      <c r="D49" s="295"/>
      <c r="E49" s="198" t="s">
        <v>84</v>
      </c>
      <c r="F49" s="199" t="s">
        <v>504</v>
      </c>
      <c r="G49" s="200" t="s">
        <v>505</v>
      </c>
      <c r="H49" s="201" t="s">
        <v>43</v>
      </c>
      <c r="I49" s="202"/>
      <c r="J49" s="203"/>
      <c r="K49" s="204" t="s">
        <v>38</v>
      </c>
      <c r="L49" s="205"/>
      <c r="M49" s="206"/>
      <c r="N49" s="206"/>
      <c r="O49" s="206"/>
      <c r="P49" s="111"/>
      <c r="Q49" s="111"/>
      <c r="R49" s="111"/>
      <c r="S49" s="111"/>
      <c r="T49" s="112"/>
      <c r="U49" s="112"/>
      <c r="V49" s="112"/>
      <c r="W49" s="112"/>
      <c r="X49" s="112"/>
      <c r="Y49" s="112"/>
      <c r="Z49" s="112"/>
      <c r="AA49" s="112"/>
      <c r="AB49" s="112"/>
      <c r="AC49" s="104"/>
    </row>
    <row r="50" spans="1:29" s="61" customFormat="1" ht="72.599999999999994" customHeight="1" thickBot="1">
      <c r="A50" s="153">
        <v>40</v>
      </c>
      <c r="B50" s="133"/>
      <c r="C50" s="133"/>
      <c r="D50" s="207"/>
      <c r="E50" s="171" t="s">
        <v>83</v>
      </c>
      <c r="F50" s="171" t="s">
        <v>444</v>
      </c>
      <c r="G50" s="158" t="s">
        <v>445</v>
      </c>
      <c r="H50" s="171" t="s">
        <v>43</v>
      </c>
      <c r="I50" s="208"/>
      <c r="J50" s="173"/>
      <c r="K50" s="180" t="s">
        <v>38</v>
      </c>
      <c r="L50" s="177"/>
      <c r="M50" s="176"/>
      <c r="N50" s="176"/>
      <c r="O50" s="176"/>
      <c r="P50" s="111"/>
      <c r="Q50" s="111"/>
      <c r="R50" s="111"/>
      <c r="S50" s="111"/>
      <c r="T50" s="112"/>
      <c r="U50" s="112"/>
      <c r="V50" s="112"/>
      <c r="W50" s="112"/>
      <c r="X50" s="112"/>
      <c r="Y50" s="112"/>
      <c r="Z50" s="112"/>
      <c r="AA50" s="112"/>
      <c r="AB50" s="112"/>
      <c r="AC50" s="104"/>
    </row>
    <row r="51" spans="1:29" s="61" customFormat="1" ht="72.599999999999994" customHeight="1" thickBot="1">
      <c r="A51" s="153">
        <v>41</v>
      </c>
      <c r="B51" s="133"/>
      <c r="C51" s="133"/>
      <c r="D51" s="207"/>
      <c r="E51" s="171" t="s">
        <v>86</v>
      </c>
      <c r="F51" s="171" t="s">
        <v>449</v>
      </c>
      <c r="G51" s="158" t="s">
        <v>450</v>
      </c>
      <c r="H51" s="171" t="s">
        <v>43</v>
      </c>
      <c r="I51" s="208"/>
      <c r="J51" s="173"/>
      <c r="K51" s="180" t="s">
        <v>38</v>
      </c>
      <c r="L51" s="177"/>
      <c r="M51" s="176"/>
      <c r="N51" s="176"/>
      <c r="O51" s="176"/>
      <c r="P51" s="111"/>
      <c r="Q51" s="111"/>
      <c r="R51" s="111"/>
      <c r="S51" s="111"/>
      <c r="T51" s="112"/>
      <c r="U51" s="112"/>
      <c r="V51" s="112"/>
      <c r="W51" s="112"/>
      <c r="X51" s="112"/>
      <c r="Y51" s="112"/>
      <c r="Z51" s="112"/>
      <c r="AA51" s="112"/>
      <c r="AB51" s="112"/>
      <c r="AC51" s="104"/>
    </row>
    <row r="52" spans="1:29" s="61" customFormat="1" ht="72.599999999999994" customHeight="1" thickBot="1">
      <c r="A52" s="153">
        <v>42</v>
      </c>
      <c r="B52" s="133"/>
      <c r="C52" s="133"/>
      <c r="D52" s="207"/>
      <c r="E52" s="171" t="s">
        <v>506</v>
      </c>
      <c r="F52" s="171" t="s">
        <v>446</v>
      </c>
      <c r="G52" s="158" t="s">
        <v>447</v>
      </c>
      <c r="H52" s="171" t="s">
        <v>43</v>
      </c>
      <c r="I52" s="208"/>
      <c r="J52" s="173"/>
      <c r="K52" s="180" t="s">
        <v>38</v>
      </c>
      <c r="L52" s="177"/>
      <c r="M52" s="176"/>
      <c r="N52" s="176"/>
      <c r="O52" s="176"/>
      <c r="P52" s="111"/>
      <c r="Q52" s="111"/>
      <c r="R52" s="111"/>
      <c r="S52" s="111"/>
      <c r="T52" s="112"/>
      <c r="U52" s="112"/>
      <c r="V52" s="112"/>
      <c r="W52" s="112"/>
      <c r="X52" s="112"/>
      <c r="Y52" s="112"/>
      <c r="Z52" s="112"/>
      <c r="AA52" s="112"/>
      <c r="AB52" s="112"/>
      <c r="AC52" s="104"/>
    </row>
    <row r="53" spans="1:29" s="61" customFormat="1" ht="72.599999999999994" customHeight="1" thickBot="1">
      <c r="A53" s="153">
        <v>43</v>
      </c>
      <c r="B53" s="133"/>
      <c r="C53" s="154"/>
      <c r="D53" s="209" t="s">
        <v>443</v>
      </c>
      <c r="E53" s="179" t="s">
        <v>85</v>
      </c>
      <c r="F53" s="171" t="s">
        <v>448</v>
      </c>
      <c r="G53" s="158" t="s">
        <v>524</v>
      </c>
      <c r="H53" s="171" t="s">
        <v>43</v>
      </c>
      <c r="I53" s="208"/>
      <c r="J53" s="173"/>
      <c r="K53" s="180" t="s">
        <v>38</v>
      </c>
      <c r="L53" s="177"/>
      <c r="M53" s="176"/>
      <c r="N53" s="176"/>
      <c r="O53" s="176"/>
      <c r="P53" s="111"/>
      <c r="Q53" s="111"/>
      <c r="R53" s="111"/>
      <c r="S53" s="111"/>
      <c r="T53" s="112"/>
      <c r="U53" s="112"/>
      <c r="V53" s="112"/>
      <c r="W53" s="112"/>
      <c r="X53" s="112"/>
      <c r="Y53" s="112"/>
      <c r="Z53" s="112"/>
      <c r="AA53" s="112"/>
      <c r="AB53" s="112"/>
      <c r="AC53" s="104"/>
    </row>
    <row r="54" spans="1:29" ht="72.599999999999994" customHeight="1" thickBot="1">
      <c r="A54" s="153">
        <v>44</v>
      </c>
      <c r="B54" s="133"/>
      <c r="C54" s="133"/>
      <c r="D54" s="296" t="s">
        <v>56</v>
      </c>
      <c r="E54" s="171" t="s">
        <v>87</v>
      </c>
      <c r="F54" s="171" t="s">
        <v>423</v>
      </c>
      <c r="G54" s="158" t="s">
        <v>422</v>
      </c>
      <c r="H54" s="171" t="s">
        <v>43</v>
      </c>
      <c r="I54" s="172"/>
      <c r="J54" s="173"/>
      <c r="K54" s="174" t="s">
        <v>38</v>
      </c>
      <c r="L54" s="177"/>
      <c r="M54" s="176"/>
      <c r="N54" s="176"/>
      <c r="O54" s="176"/>
      <c r="P54" s="111"/>
      <c r="Q54" s="111"/>
      <c r="R54" s="111"/>
      <c r="S54" s="111"/>
      <c r="T54" s="112"/>
      <c r="U54" s="112"/>
      <c r="V54" s="112"/>
      <c r="W54" s="112"/>
      <c r="X54" s="112"/>
      <c r="Y54" s="112"/>
      <c r="Z54" s="112"/>
      <c r="AA54" s="112"/>
      <c r="AB54" s="112"/>
      <c r="AC54" s="104"/>
    </row>
    <row r="55" spans="1:29" ht="72.599999999999994" customHeight="1" thickBot="1">
      <c r="A55" s="153">
        <v>45</v>
      </c>
      <c r="B55" s="133"/>
      <c r="C55" s="133"/>
      <c r="D55" s="296"/>
      <c r="E55" s="171" t="s">
        <v>88</v>
      </c>
      <c r="F55" s="171" t="s">
        <v>397</v>
      </c>
      <c r="G55" s="158" t="s">
        <v>399</v>
      </c>
      <c r="H55" s="171" t="s">
        <v>43</v>
      </c>
      <c r="I55" s="178"/>
      <c r="J55" s="173"/>
      <c r="K55" s="174" t="s">
        <v>38</v>
      </c>
      <c r="L55" s="177"/>
      <c r="M55" s="176"/>
      <c r="N55" s="176"/>
      <c r="O55" s="176"/>
      <c r="P55" s="111"/>
      <c r="Q55" s="111"/>
      <c r="R55" s="111"/>
      <c r="S55" s="111"/>
      <c r="T55" s="112"/>
      <c r="U55" s="112"/>
      <c r="V55" s="112"/>
      <c r="W55" s="112"/>
      <c r="X55" s="112"/>
      <c r="Y55" s="112"/>
      <c r="Z55" s="112"/>
      <c r="AA55" s="112"/>
      <c r="AB55" s="112"/>
      <c r="AC55" s="104"/>
    </row>
    <row r="56" spans="1:29" ht="72.599999999999994" customHeight="1" thickBot="1">
      <c r="A56" s="153">
        <v>46</v>
      </c>
      <c r="B56" s="133"/>
      <c r="C56" s="133"/>
      <c r="D56" s="296"/>
      <c r="E56" s="171" t="s">
        <v>89</v>
      </c>
      <c r="F56" s="171" t="s">
        <v>398</v>
      </c>
      <c r="G56" s="158" t="s">
        <v>523</v>
      </c>
      <c r="H56" s="171" t="s">
        <v>43</v>
      </c>
      <c r="I56" s="172" t="s">
        <v>54</v>
      </c>
      <c r="J56" s="173"/>
      <c r="K56" s="174" t="s">
        <v>38</v>
      </c>
      <c r="L56" s="177"/>
      <c r="M56" s="176"/>
      <c r="N56" s="176"/>
      <c r="O56" s="176"/>
      <c r="P56" s="111"/>
      <c r="Q56" s="111"/>
      <c r="R56" s="111"/>
      <c r="S56" s="111"/>
      <c r="T56" s="112"/>
      <c r="U56" s="112"/>
      <c r="V56" s="112"/>
      <c r="W56" s="112"/>
      <c r="X56" s="112"/>
      <c r="Y56" s="112"/>
      <c r="Z56" s="112"/>
      <c r="AA56" s="112"/>
      <c r="AB56" s="112"/>
      <c r="AC56" s="104"/>
    </row>
    <row r="57" spans="1:29" ht="72.599999999999994" customHeight="1" thickBot="1">
      <c r="A57" s="153">
        <v>47</v>
      </c>
      <c r="B57" s="133"/>
      <c r="C57" s="133"/>
      <c r="D57" s="296"/>
      <c r="E57" s="171" t="s">
        <v>90</v>
      </c>
      <c r="F57" s="171" t="s">
        <v>401</v>
      </c>
      <c r="G57" s="158" t="s">
        <v>402</v>
      </c>
      <c r="H57" s="171" t="s">
        <v>43</v>
      </c>
      <c r="I57" s="178"/>
      <c r="J57" s="173"/>
      <c r="K57" s="174" t="s">
        <v>38</v>
      </c>
      <c r="L57" s="177"/>
      <c r="M57" s="176"/>
      <c r="N57" s="176"/>
      <c r="O57" s="176"/>
      <c r="P57" s="111"/>
      <c r="Q57" s="111"/>
      <c r="R57" s="111"/>
      <c r="S57" s="111"/>
      <c r="T57" s="112"/>
      <c r="U57" s="112"/>
      <c r="V57" s="112"/>
      <c r="W57" s="112"/>
      <c r="X57" s="112"/>
      <c r="Y57" s="112"/>
      <c r="Z57" s="112"/>
      <c r="AA57" s="112"/>
      <c r="AB57" s="112"/>
      <c r="AC57" s="104"/>
    </row>
    <row r="58" spans="1:29" ht="72.599999999999994" customHeight="1" thickBot="1">
      <c r="A58" s="153">
        <v>48</v>
      </c>
      <c r="B58" s="133"/>
      <c r="C58" s="133"/>
      <c r="D58" s="296"/>
      <c r="E58" s="171" t="s">
        <v>91</v>
      </c>
      <c r="F58" s="171" t="s">
        <v>400</v>
      </c>
      <c r="G58" s="158" t="s">
        <v>403</v>
      </c>
      <c r="H58" s="171" t="s">
        <v>43</v>
      </c>
      <c r="I58" s="172"/>
      <c r="J58" s="171"/>
      <c r="K58" s="174" t="s">
        <v>38</v>
      </c>
      <c r="L58" s="177"/>
      <c r="M58" s="176"/>
      <c r="N58" s="176"/>
      <c r="O58" s="176"/>
      <c r="P58" s="111"/>
      <c r="Q58" s="111"/>
      <c r="R58" s="111"/>
      <c r="S58" s="111"/>
      <c r="T58" s="112"/>
      <c r="U58" s="112"/>
      <c r="V58" s="112"/>
      <c r="W58" s="112"/>
      <c r="X58" s="112"/>
      <c r="Y58" s="112"/>
      <c r="Z58" s="112"/>
      <c r="AA58" s="112"/>
      <c r="AB58" s="112"/>
      <c r="AC58" s="104"/>
    </row>
    <row r="59" spans="1:29" ht="72.599999999999994" customHeight="1" thickBot="1">
      <c r="A59" s="153">
        <v>49</v>
      </c>
      <c r="B59" s="133"/>
      <c r="C59" s="133"/>
      <c r="D59" s="296"/>
      <c r="E59" s="189" t="s">
        <v>92</v>
      </c>
      <c r="F59" s="189" t="s">
        <v>404</v>
      </c>
      <c r="G59" s="171" t="s">
        <v>407</v>
      </c>
      <c r="H59" s="171" t="s">
        <v>43</v>
      </c>
      <c r="I59" s="178"/>
      <c r="J59" s="171"/>
      <c r="K59" s="174" t="s">
        <v>38</v>
      </c>
      <c r="L59" s="177"/>
      <c r="M59" s="176"/>
      <c r="N59" s="176"/>
      <c r="O59" s="176"/>
      <c r="P59" s="111"/>
      <c r="Q59" s="111"/>
      <c r="R59" s="111"/>
      <c r="S59" s="111"/>
      <c r="T59" s="112"/>
      <c r="U59" s="112"/>
      <c r="V59" s="112"/>
      <c r="W59" s="112"/>
      <c r="X59" s="112"/>
      <c r="Y59" s="112"/>
      <c r="Z59" s="112"/>
      <c r="AA59" s="112"/>
      <c r="AB59" s="112"/>
      <c r="AC59" s="104"/>
    </row>
    <row r="60" spans="1:29" s="61" customFormat="1" ht="72.599999999999994" customHeight="1" thickBot="1">
      <c r="A60" s="153">
        <v>50</v>
      </c>
      <c r="B60" s="133"/>
      <c r="C60" s="133"/>
      <c r="D60" s="296"/>
      <c r="E60" s="189" t="s">
        <v>420</v>
      </c>
      <c r="F60" s="189" t="s">
        <v>419</v>
      </c>
      <c r="G60" s="171" t="s">
        <v>421</v>
      </c>
      <c r="H60" s="171" t="s">
        <v>43</v>
      </c>
      <c r="I60" s="178"/>
      <c r="J60" s="171"/>
      <c r="K60" s="174" t="s">
        <v>38</v>
      </c>
      <c r="L60" s="177"/>
      <c r="M60" s="176"/>
      <c r="N60" s="176"/>
      <c r="O60" s="176"/>
      <c r="P60" s="111"/>
      <c r="Q60" s="111"/>
      <c r="R60" s="111"/>
      <c r="S60" s="111"/>
      <c r="T60" s="112"/>
      <c r="U60" s="112"/>
      <c r="V60" s="112"/>
      <c r="W60" s="112"/>
      <c r="X60" s="112"/>
      <c r="Y60" s="112"/>
      <c r="Z60" s="112"/>
      <c r="AA60" s="112"/>
      <c r="AB60" s="112"/>
      <c r="AC60" s="104"/>
    </row>
    <row r="61" spans="1:29" ht="72.599999999999994" customHeight="1" thickBot="1">
      <c r="A61" s="153">
        <v>51</v>
      </c>
      <c r="B61" s="133"/>
      <c r="C61" s="133"/>
      <c r="D61" s="296"/>
      <c r="E61" s="189" t="s">
        <v>93</v>
      </c>
      <c r="F61" s="189" t="s">
        <v>405</v>
      </c>
      <c r="G61" s="171" t="s">
        <v>408</v>
      </c>
      <c r="H61" s="171" t="s">
        <v>43</v>
      </c>
      <c r="I61" s="172"/>
      <c r="J61" s="171"/>
      <c r="K61" s="174" t="s">
        <v>38</v>
      </c>
      <c r="L61" s="177"/>
      <c r="M61" s="176"/>
      <c r="N61" s="176"/>
      <c r="O61" s="176"/>
      <c r="P61" s="111"/>
      <c r="Q61" s="111"/>
      <c r="R61" s="111"/>
      <c r="S61" s="111"/>
      <c r="T61" s="112"/>
      <c r="U61" s="112"/>
      <c r="V61" s="112"/>
      <c r="W61" s="112"/>
      <c r="X61" s="112"/>
      <c r="Y61" s="112"/>
      <c r="Z61" s="112"/>
      <c r="AA61" s="112"/>
      <c r="AB61" s="112"/>
      <c r="AC61" s="104"/>
    </row>
    <row r="62" spans="1:29" ht="72.599999999999994" customHeight="1" thickBot="1">
      <c r="A62" s="153">
        <v>52</v>
      </c>
      <c r="B62" s="133"/>
      <c r="C62" s="133"/>
      <c r="D62" s="296"/>
      <c r="E62" s="210" t="s">
        <v>94</v>
      </c>
      <c r="F62" s="210" t="s">
        <v>406</v>
      </c>
      <c r="G62" s="171" t="s">
        <v>409</v>
      </c>
      <c r="H62" s="171" t="s">
        <v>43</v>
      </c>
      <c r="I62" s="172"/>
      <c r="J62" s="171"/>
      <c r="K62" s="174" t="s">
        <v>38</v>
      </c>
      <c r="L62" s="211"/>
      <c r="M62" s="176"/>
      <c r="N62" s="176"/>
      <c r="O62" s="176"/>
      <c r="P62" s="111"/>
      <c r="Q62" s="111"/>
      <c r="R62" s="111"/>
      <c r="S62" s="111"/>
      <c r="T62" s="112"/>
      <c r="U62" s="112"/>
      <c r="V62" s="112"/>
      <c r="W62" s="112"/>
      <c r="X62" s="112"/>
      <c r="Y62" s="112"/>
      <c r="Z62" s="112"/>
      <c r="AA62" s="112"/>
      <c r="AB62" s="112"/>
      <c r="AC62" s="104"/>
    </row>
    <row r="63" spans="1:29" ht="72.599999999999994" customHeight="1" thickBot="1">
      <c r="A63" s="153">
        <v>53</v>
      </c>
      <c r="B63" s="133"/>
      <c r="C63" s="133"/>
      <c r="D63" s="296"/>
      <c r="E63" s="210" t="s">
        <v>307</v>
      </c>
      <c r="F63" s="210" t="s">
        <v>410</v>
      </c>
      <c r="G63" s="171" t="s">
        <v>407</v>
      </c>
      <c r="H63" s="171" t="s">
        <v>43</v>
      </c>
      <c r="I63" s="172"/>
      <c r="J63" s="171"/>
      <c r="K63" s="174"/>
      <c r="L63" s="211"/>
      <c r="M63" s="176"/>
      <c r="N63" s="176"/>
      <c r="O63" s="176"/>
      <c r="P63" s="111"/>
      <c r="Q63" s="111"/>
      <c r="R63" s="111"/>
      <c r="S63" s="111"/>
      <c r="T63" s="112"/>
      <c r="U63" s="112"/>
      <c r="V63" s="112"/>
      <c r="W63" s="112"/>
      <c r="X63" s="112"/>
      <c r="Y63" s="112"/>
      <c r="Z63" s="112"/>
      <c r="AA63" s="112"/>
      <c r="AB63" s="112"/>
      <c r="AC63" s="104"/>
    </row>
    <row r="64" spans="1:29" ht="72.599999999999994" customHeight="1" thickBot="1">
      <c r="A64" s="153">
        <v>54</v>
      </c>
      <c r="B64" s="133"/>
      <c r="C64" s="133"/>
      <c r="D64" s="296"/>
      <c r="E64" s="210" t="s">
        <v>306</v>
      </c>
      <c r="F64" s="210" t="s">
        <v>411</v>
      </c>
      <c r="G64" s="158" t="s">
        <v>412</v>
      </c>
      <c r="H64" s="171" t="s">
        <v>43</v>
      </c>
      <c r="I64" s="172"/>
      <c r="J64" s="171"/>
      <c r="K64" s="174" t="s">
        <v>38</v>
      </c>
      <c r="L64" s="211"/>
      <c r="M64" s="176"/>
      <c r="N64" s="176"/>
      <c r="O64" s="176"/>
      <c r="P64" s="111"/>
      <c r="Q64" s="111"/>
      <c r="R64" s="111"/>
      <c r="S64" s="111"/>
      <c r="T64" s="112"/>
      <c r="U64" s="112"/>
      <c r="V64" s="112"/>
      <c r="W64" s="112"/>
      <c r="X64" s="112"/>
      <c r="Y64" s="112"/>
      <c r="Z64" s="112"/>
      <c r="AA64" s="112"/>
      <c r="AB64" s="112"/>
      <c r="AC64" s="104"/>
    </row>
    <row r="65" spans="1:29" ht="72.599999999999994" customHeight="1" thickBot="1">
      <c r="A65" s="153">
        <v>55</v>
      </c>
      <c r="B65" s="133"/>
      <c r="C65" s="133"/>
      <c r="D65" s="296"/>
      <c r="E65" s="210" t="s">
        <v>95</v>
      </c>
      <c r="F65" s="210" t="s">
        <v>413</v>
      </c>
      <c r="G65" s="158" t="s">
        <v>412</v>
      </c>
      <c r="H65" s="171" t="s">
        <v>43</v>
      </c>
      <c r="I65" s="172"/>
      <c r="J65" s="171"/>
      <c r="K65" s="174" t="s">
        <v>38</v>
      </c>
      <c r="L65" s="211"/>
      <c r="M65" s="176"/>
      <c r="N65" s="176"/>
      <c r="O65" s="176"/>
      <c r="P65" s="111"/>
      <c r="Q65" s="111"/>
      <c r="R65" s="111"/>
      <c r="S65" s="111"/>
      <c r="T65" s="112"/>
      <c r="U65" s="112"/>
      <c r="V65" s="112"/>
      <c r="W65" s="112"/>
      <c r="X65" s="112"/>
      <c r="Y65" s="112"/>
      <c r="Z65" s="112"/>
      <c r="AA65" s="112"/>
      <c r="AB65" s="112"/>
      <c r="AC65" s="104"/>
    </row>
    <row r="66" spans="1:29" ht="72.599999999999994" customHeight="1" thickBot="1">
      <c r="A66" s="153">
        <v>56</v>
      </c>
      <c r="B66" s="133"/>
      <c r="C66" s="133"/>
      <c r="D66" s="296"/>
      <c r="E66" s="210" t="s">
        <v>96</v>
      </c>
      <c r="F66" s="210" t="s">
        <v>417</v>
      </c>
      <c r="G66" s="158" t="s">
        <v>418</v>
      </c>
      <c r="H66" s="171" t="s">
        <v>43</v>
      </c>
      <c r="I66" s="171"/>
      <c r="J66" s="171"/>
      <c r="K66" s="174" t="s">
        <v>38</v>
      </c>
      <c r="L66" s="211"/>
      <c r="M66" s="176"/>
      <c r="N66" s="176"/>
      <c r="O66" s="176"/>
      <c r="P66" s="111"/>
      <c r="Q66" s="111"/>
      <c r="R66" s="111"/>
      <c r="S66" s="111"/>
      <c r="T66" s="112"/>
      <c r="U66" s="112"/>
      <c r="V66" s="112"/>
      <c r="W66" s="112"/>
      <c r="X66" s="112"/>
      <c r="Y66" s="112"/>
      <c r="Z66" s="112"/>
      <c r="AA66" s="112"/>
      <c r="AB66" s="112"/>
      <c r="AC66" s="104"/>
    </row>
    <row r="67" spans="1:29" ht="72.599999999999994" customHeight="1" thickBot="1">
      <c r="A67" s="153">
        <v>57</v>
      </c>
      <c r="B67" s="133"/>
      <c r="C67" s="133"/>
      <c r="D67" s="297"/>
      <c r="E67" s="210" t="s">
        <v>97</v>
      </c>
      <c r="F67" s="210" t="s">
        <v>415</v>
      </c>
      <c r="G67" s="158" t="s">
        <v>416</v>
      </c>
      <c r="H67" s="171" t="s">
        <v>43</v>
      </c>
      <c r="I67" s="171"/>
      <c r="J67" s="171"/>
      <c r="K67" s="174" t="s">
        <v>38</v>
      </c>
      <c r="L67" s="211"/>
      <c r="M67" s="176"/>
      <c r="N67" s="176"/>
      <c r="O67" s="176"/>
      <c r="P67" s="111"/>
      <c r="Q67" s="111"/>
      <c r="R67" s="111"/>
      <c r="S67" s="111"/>
      <c r="T67" s="113"/>
      <c r="U67" s="113"/>
      <c r="V67" s="113"/>
      <c r="W67" s="113"/>
      <c r="X67" s="113"/>
      <c r="Y67" s="113"/>
      <c r="Z67" s="113"/>
      <c r="AA67" s="113"/>
      <c r="AB67" s="113"/>
      <c r="AC67" s="104"/>
    </row>
    <row r="68" spans="1:29" ht="72.599999999999994" customHeight="1" thickBot="1">
      <c r="A68" s="153">
        <v>58</v>
      </c>
      <c r="B68" s="133"/>
      <c r="C68" s="133"/>
      <c r="D68" s="312" t="s">
        <v>98</v>
      </c>
      <c r="E68" s="210" t="s">
        <v>99</v>
      </c>
      <c r="F68" s="210" t="s">
        <v>361</v>
      </c>
      <c r="G68" s="158" t="s">
        <v>362</v>
      </c>
      <c r="H68" s="171" t="s">
        <v>43</v>
      </c>
      <c r="I68" s="171"/>
      <c r="J68" s="171"/>
      <c r="K68" s="161" t="s">
        <v>38</v>
      </c>
      <c r="L68" s="211"/>
      <c r="M68" s="176"/>
      <c r="N68" s="176"/>
      <c r="O68" s="176"/>
      <c r="P68" s="111"/>
      <c r="Q68" s="111"/>
      <c r="R68" s="111"/>
      <c r="S68" s="111"/>
      <c r="T68" s="112"/>
      <c r="U68" s="112"/>
      <c r="V68" s="112"/>
      <c r="W68" s="112"/>
      <c r="X68" s="112"/>
      <c r="Y68" s="112"/>
      <c r="Z68" s="112"/>
      <c r="AA68" s="112"/>
      <c r="AB68" s="112"/>
      <c r="AC68" s="104"/>
    </row>
    <row r="69" spans="1:29" ht="72.599999999999994" customHeight="1" thickBot="1">
      <c r="A69" s="153">
        <v>59</v>
      </c>
      <c r="B69" s="133"/>
      <c r="C69" s="133"/>
      <c r="D69" s="296"/>
      <c r="E69" s="210" t="s">
        <v>100</v>
      </c>
      <c r="F69" s="210" t="s">
        <v>363</v>
      </c>
      <c r="G69" s="158" t="s">
        <v>364</v>
      </c>
      <c r="H69" s="171" t="s">
        <v>43</v>
      </c>
      <c r="I69" s="171"/>
      <c r="J69" s="171"/>
      <c r="K69" s="161" t="s">
        <v>38</v>
      </c>
      <c r="L69" s="211"/>
      <c r="M69" s="176"/>
      <c r="N69" s="176"/>
      <c r="O69" s="176"/>
      <c r="P69" s="111"/>
      <c r="Q69" s="111"/>
      <c r="R69" s="111"/>
      <c r="S69" s="111"/>
      <c r="T69" s="112"/>
      <c r="U69" s="112"/>
      <c r="V69" s="112"/>
      <c r="W69" s="112"/>
      <c r="X69" s="112"/>
      <c r="Y69" s="112"/>
      <c r="Z69" s="112"/>
      <c r="AA69" s="112"/>
      <c r="AB69" s="112"/>
      <c r="AC69" s="104"/>
    </row>
    <row r="70" spans="1:29" ht="72.599999999999994" customHeight="1" thickBot="1">
      <c r="A70" s="153">
        <v>60</v>
      </c>
      <c r="B70" s="133"/>
      <c r="C70" s="133"/>
      <c r="D70" s="296"/>
      <c r="E70" s="210" t="s">
        <v>101</v>
      </c>
      <c r="F70" s="210" t="s">
        <v>365</v>
      </c>
      <c r="G70" s="158" t="s">
        <v>366</v>
      </c>
      <c r="H70" s="171" t="s">
        <v>43</v>
      </c>
      <c r="I70" s="171"/>
      <c r="J70" s="171"/>
      <c r="K70" s="161" t="s">
        <v>38</v>
      </c>
      <c r="L70" s="211"/>
      <c r="M70" s="176"/>
      <c r="N70" s="176"/>
      <c r="O70" s="176"/>
      <c r="P70" s="111"/>
      <c r="Q70" s="111"/>
      <c r="R70" s="111"/>
      <c r="S70" s="111"/>
      <c r="T70" s="112"/>
      <c r="U70" s="112"/>
      <c r="V70" s="112"/>
      <c r="W70" s="112"/>
      <c r="X70" s="112"/>
      <c r="Y70" s="112"/>
      <c r="Z70" s="112"/>
      <c r="AA70" s="112"/>
      <c r="AB70" s="112"/>
      <c r="AC70" s="104"/>
    </row>
    <row r="71" spans="1:29" ht="72.599999999999994" customHeight="1" thickBot="1">
      <c r="A71" s="153">
        <v>61</v>
      </c>
      <c r="B71" s="133"/>
      <c r="C71" s="133"/>
      <c r="D71" s="296"/>
      <c r="E71" s="210" t="s">
        <v>102</v>
      </c>
      <c r="F71" s="210" t="s">
        <v>367</v>
      </c>
      <c r="G71" s="158" t="s">
        <v>522</v>
      </c>
      <c r="H71" s="171" t="s">
        <v>43</v>
      </c>
      <c r="I71" s="171"/>
      <c r="J71" s="171"/>
      <c r="K71" s="161" t="s">
        <v>38</v>
      </c>
      <c r="L71" s="211"/>
      <c r="M71" s="176"/>
      <c r="N71" s="176"/>
      <c r="O71" s="176"/>
      <c r="P71" s="111"/>
      <c r="Q71" s="111"/>
      <c r="R71" s="111"/>
      <c r="S71" s="111"/>
      <c r="T71" s="112"/>
      <c r="U71" s="112"/>
      <c r="V71" s="112"/>
      <c r="W71" s="112"/>
      <c r="X71" s="112"/>
      <c r="Y71" s="112"/>
      <c r="Z71" s="112"/>
      <c r="AA71" s="112"/>
      <c r="AB71" s="112"/>
      <c r="AC71" s="104"/>
    </row>
    <row r="72" spans="1:29" ht="72.599999999999994" customHeight="1" thickBot="1">
      <c r="A72" s="153">
        <v>62</v>
      </c>
      <c r="B72" s="133"/>
      <c r="C72" s="133"/>
      <c r="D72" s="296"/>
      <c r="E72" s="210" t="s">
        <v>103</v>
      </c>
      <c r="F72" s="210" t="s">
        <v>368</v>
      </c>
      <c r="G72" s="158" t="s">
        <v>370</v>
      </c>
      <c r="H72" s="171" t="s">
        <v>43</v>
      </c>
      <c r="I72" s="171"/>
      <c r="J72" s="171"/>
      <c r="K72" s="161" t="s">
        <v>38</v>
      </c>
      <c r="L72" s="211"/>
      <c r="M72" s="176"/>
      <c r="N72" s="176"/>
      <c r="O72" s="176"/>
      <c r="P72" s="111"/>
      <c r="Q72" s="111"/>
      <c r="R72" s="111"/>
      <c r="S72" s="111"/>
      <c r="T72" s="112"/>
      <c r="U72" s="112"/>
      <c r="V72" s="112"/>
      <c r="W72" s="112"/>
      <c r="X72" s="112"/>
      <c r="Y72" s="112"/>
      <c r="Z72" s="112"/>
      <c r="AA72" s="112"/>
      <c r="AB72" s="112"/>
      <c r="AC72" s="104"/>
    </row>
    <row r="73" spans="1:29" ht="72.599999999999994" customHeight="1" thickBot="1">
      <c r="A73" s="153">
        <v>63</v>
      </c>
      <c r="B73" s="133"/>
      <c r="C73" s="133"/>
      <c r="D73" s="296"/>
      <c r="E73" s="210" t="s">
        <v>104</v>
      </c>
      <c r="F73" s="210" t="s">
        <v>369</v>
      </c>
      <c r="G73" s="158" t="s">
        <v>371</v>
      </c>
      <c r="H73" s="171" t="s">
        <v>43</v>
      </c>
      <c r="I73" s="171"/>
      <c r="J73" s="171"/>
      <c r="K73" s="161" t="s">
        <v>38</v>
      </c>
      <c r="L73" s="211"/>
      <c r="M73" s="176"/>
      <c r="N73" s="176"/>
      <c r="O73" s="176"/>
      <c r="P73" s="111"/>
      <c r="Q73" s="111"/>
      <c r="R73" s="111"/>
      <c r="S73" s="111"/>
      <c r="T73" s="112"/>
      <c r="U73" s="112"/>
      <c r="V73" s="112"/>
      <c r="W73" s="112"/>
      <c r="X73" s="112"/>
      <c r="Y73" s="112"/>
      <c r="Z73" s="112"/>
      <c r="AA73" s="112"/>
      <c r="AB73" s="112"/>
      <c r="AC73" s="104"/>
    </row>
    <row r="74" spans="1:29" ht="72.599999999999994" customHeight="1" thickBot="1">
      <c r="A74" s="153">
        <v>64</v>
      </c>
      <c r="B74" s="133"/>
      <c r="C74" s="133"/>
      <c r="D74" s="296"/>
      <c r="E74" s="210" t="s">
        <v>106</v>
      </c>
      <c r="F74" s="210" t="s">
        <v>372</v>
      </c>
      <c r="G74" s="158" t="s">
        <v>374</v>
      </c>
      <c r="H74" s="171" t="s">
        <v>43</v>
      </c>
      <c r="I74" s="171"/>
      <c r="J74" s="171"/>
      <c r="K74" s="161" t="s">
        <v>38</v>
      </c>
      <c r="L74" s="211"/>
      <c r="M74" s="212"/>
      <c r="N74" s="212"/>
      <c r="O74" s="212"/>
      <c r="P74" s="111"/>
      <c r="Q74" s="111"/>
      <c r="R74" s="111"/>
      <c r="S74" s="111"/>
      <c r="T74" s="112"/>
      <c r="U74" s="112"/>
      <c r="V74" s="112"/>
      <c r="W74" s="112"/>
      <c r="X74" s="112"/>
      <c r="Y74" s="112"/>
      <c r="Z74" s="112"/>
      <c r="AA74" s="112"/>
      <c r="AB74" s="112"/>
      <c r="AC74" s="104"/>
    </row>
    <row r="75" spans="1:29" ht="72.599999999999994" customHeight="1" thickBot="1">
      <c r="A75" s="153">
        <v>65</v>
      </c>
      <c r="B75" s="133"/>
      <c r="C75" s="133"/>
      <c r="D75" s="296"/>
      <c r="E75" s="210" t="s">
        <v>105</v>
      </c>
      <c r="F75" s="210" t="s">
        <v>373</v>
      </c>
      <c r="G75" s="158" t="s">
        <v>521</v>
      </c>
      <c r="H75" s="171" t="s">
        <v>43</v>
      </c>
      <c r="I75" s="171"/>
      <c r="J75" s="171"/>
      <c r="K75" s="161" t="s">
        <v>38</v>
      </c>
      <c r="L75" s="211"/>
      <c r="M75" s="176"/>
      <c r="N75" s="176"/>
      <c r="O75" s="176"/>
      <c r="P75" s="111"/>
      <c r="Q75" s="111"/>
      <c r="R75" s="111"/>
      <c r="S75" s="111"/>
      <c r="T75" s="112"/>
      <c r="U75" s="112"/>
      <c r="V75" s="112"/>
      <c r="W75" s="112"/>
      <c r="X75" s="112"/>
      <c r="Y75" s="112"/>
      <c r="Z75" s="112"/>
      <c r="AA75" s="112"/>
      <c r="AB75" s="112"/>
      <c r="AC75" s="104"/>
    </row>
    <row r="76" spans="1:29" ht="72.599999999999994" customHeight="1" thickBot="1">
      <c r="A76" s="153">
        <v>66</v>
      </c>
      <c r="B76" s="133"/>
      <c r="C76" s="133"/>
      <c r="D76" s="296"/>
      <c r="E76" s="210" t="s">
        <v>107</v>
      </c>
      <c r="F76" s="210" t="s">
        <v>375</v>
      </c>
      <c r="G76" s="158" t="s">
        <v>380</v>
      </c>
      <c r="H76" s="171" t="s">
        <v>43</v>
      </c>
      <c r="I76" s="171"/>
      <c r="J76" s="171"/>
      <c r="K76" s="161" t="s">
        <v>38</v>
      </c>
      <c r="L76" s="211"/>
      <c r="M76" s="176"/>
      <c r="N76" s="176"/>
      <c r="O76" s="176"/>
      <c r="P76" s="111"/>
      <c r="Q76" s="111"/>
      <c r="R76" s="111"/>
      <c r="S76" s="111"/>
      <c r="T76" s="112"/>
      <c r="U76" s="112"/>
      <c r="V76" s="112"/>
      <c r="W76" s="112"/>
      <c r="X76" s="112"/>
      <c r="Y76" s="112"/>
      <c r="Z76" s="112"/>
      <c r="AA76" s="112"/>
      <c r="AB76" s="112"/>
      <c r="AC76" s="104"/>
    </row>
    <row r="77" spans="1:29" ht="72.599999999999994" customHeight="1" thickBot="1">
      <c r="A77" s="153">
        <v>67</v>
      </c>
      <c r="B77" s="133"/>
      <c r="C77" s="133"/>
      <c r="D77" s="296"/>
      <c r="E77" s="158" t="s">
        <v>108</v>
      </c>
      <c r="F77" s="158" t="s">
        <v>376</v>
      </c>
      <c r="G77" s="158" t="s">
        <v>381</v>
      </c>
      <c r="H77" s="171" t="s">
        <v>43</v>
      </c>
      <c r="I77" s="213"/>
      <c r="J77" s="171"/>
      <c r="K77" s="161" t="s">
        <v>38</v>
      </c>
      <c r="L77" s="211"/>
      <c r="M77" s="176"/>
      <c r="N77" s="176"/>
      <c r="O77" s="176"/>
      <c r="P77" s="111"/>
      <c r="Q77" s="111"/>
      <c r="R77" s="111"/>
      <c r="S77" s="111"/>
      <c r="T77" s="112"/>
      <c r="U77" s="112"/>
      <c r="V77" s="112"/>
      <c r="W77" s="112"/>
      <c r="X77" s="112"/>
      <c r="Y77" s="112"/>
      <c r="Z77" s="112"/>
      <c r="AA77" s="112"/>
      <c r="AB77" s="112"/>
      <c r="AC77" s="104"/>
    </row>
    <row r="78" spans="1:29" ht="72.599999999999994" customHeight="1" thickBot="1">
      <c r="A78" s="153">
        <v>68</v>
      </c>
      <c r="B78" s="133"/>
      <c r="C78" s="133"/>
      <c r="D78" s="296"/>
      <c r="E78" s="158" t="s">
        <v>109</v>
      </c>
      <c r="F78" s="158" t="s">
        <v>377</v>
      </c>
      <c r="G78" s="158" t="s">
        <v>382</v>
      </c>
      <c r="H78" s="171" t="s">
        <v>43</v>
      </c>
      <c r="I78" s="172"/>
      <c r="J78" s="171"/>
      <c r="K78" s="174" t="s">
        <v>38</v>
      </c>
      <c r="L78" s="211"/>
      <c r="M78" s="176"/>
      <c r="N78" s="176"/>
      <c r="O78" s="176"/>
      <c r="P78" s="111"/>
      <c r="Q78" s="111"/>
      <c r="R78" s="111"/>
      <c r="S78" s="111"/>
      <c r="T78" s="112"/>
      <c r="U78" s="112"/>
      <c r="V78" s="112"/>
      <c r="W78" s="112"/>
      <c r="X78" s="112"/>
      <c r="Y78" s="112"/>
      <c r="Z78" s="112"/>
      <c r="AA78" s="112"/>
      <c r="AB78" s="112"/>
      <c r="AC78" s="104"/>
    </row>
    <row r="79" spans="1:29" ht="72.599999999999994" customHeight="1" thickBot="1">
      <c r="A79" s="153">
        <v>69</v>
      </c>
      <c r="B79" s="133"/>
      <c r="C79" s="133"/>
      <c r="D79" s="296"/>
      <c r="E79" s="158" t="s">
        <v>110</v>
      </c>
      <c r="F79" s="158" t="s">
        <v>378</v>
      </c>
      <c r="G79" s="158" t="s">
        <v>383</v>
      </c>
      <c r="H79" s="171" t="s">
        <v>43</v>
      </c>
      <c r="I79" s="178"/>
      <c r="J79" s="171"/>
      <c r="K79" s="174" t="s">
        <v>38</v>
      </c>
      <c r="L79" s="211"/>
      <c r="M79" s="176"/>
      <c r="N79" s="176"/>
      <c r="O79" s="176"/>
      <c r="P79" s="111"/>
      <c r="Q79" s="111"/>
      <c r="R79" s="111"/>
      <c r="S79" s="111"/>
      <c r="T79" s="112"/>
      <c r="U79" s="112"/>
      <c r="V79" s="112"/>
      <c r="W79" s="112"/>
      <c r="X79" s="112"/>
      <c r="Y79" s="112"/>
      <c r="Z79" s="112"/>
      <c r="AA79" s="112"/>
      <c r="AB79" s="112"/>
      <c r="AC79" s="104"/>
    </row>
    <row r="80" spans="1:29" ht="72.599999999999994" customHeight="1" thickBot="1">
      <c r="A80" s="153">
        <v>70</v>
      </c>
      <c r="B80" s="133"/>
      <c r="C80" s="133"/>
      <c r="D80" s="296"/>
      <c r="E80" s="171" t="s">
        <v>111</v>
      </c>
      <c r="F80" s="171" t="s">
        <v>379</v>
      </c>
      <c r="G80" s="171" t="s">
        <v>384</v>
      </c>
      <c r="H80" s="171" t="s">
        <v>43</v>
      </c>
      <c r="I80" s="172"/>
      <c r="J80" s="171"/>
      <c r="K80" s="174" t="s">
        <v>38</v>
      </c>
      <c r="L80" s="211"/>
      <c r="M80" s="176"/>
      <c r="N80" s="176"/>
      <c r="O80" s="176"/>
      <c r="P80" s="111"/>
      <c r="Q80" s="111"/>
      <c r="R80" s="111"/>
      <c r="S80" s="111"/>
      <c r="T80" s="112"/>
      <c r="U80" s="112"/>
      <c r="V80" s="112"/>
      <c r="W80" s="112"/>
      <c r="X80" s="112"/>
      <c r="Y80" s="112"/>
      <c r="Z80" s="112"/>
      <c r="AA80" s="112"/>
      <c r="AB80" s="112"/>
      <c r="AC80" s="104"/>
    </row>
    <row r="81" spans="1:29" ht="72.599999999999994" customHeight="1" thickBot="1">
      <c r="A81" s="153">
        <v>71</v>
      </c>
      <c r="B81" s="133"/>
      <c r="C81" s="133"/>
      <c r="D81" s="296"/>
      <c r="E81" s="171" t="s">
        <v>308</v>
      </c>
      <c r="F81" s="171" t="s">
        <v>311</v>
      </c>
      <c r="G81" s="171" t="s">
        <v>520</v>
      </c>
      <c r="H81" s="171" t="s">
        <v>43</v>
      </c>
      <c r="I81" s="172"/>
      <c r="J81" s="171"/>
      <c r="K81" s="174" t="s">
        <v>38</v>
      </c>
      <c r="L81" s="211"/>
      <c r="M81" s="176"/>
      <c r="N81" s="176"/>
      <c r="O81" s="176"/>
      <c r="P81" s="111"/>
      <c r="Q81" s="111"/>
      <c r="R81" s="111"/>
      <c r="S81" s="111"/>
      <c r="T81" s="112"/>
      <c r="U81" s="112"/>
      <c r="V81" s="112"/>
      <c r="W81" s="112"/>
      <c r="X81" s="112"/>
      <c r="Y81" s="112"/>
      <c r="Z81" s="112"/>
      <c r="AA81" s="112"/>
      <c r="AB81" s="112"/>
      <c r="AC81" s="104"/>
    </row>
    <row r="82" spans="1:29" ht="72.599999999999994" customHeight="1" thickBot="1">
      <c r="A82" s="153">
        <v>72</v>
      </c>
      <c r="B82" s="133"/>
      <c r="C82" s="133"/>
      <c r="D82" s="296"/>
      <c r="E82" s="171" t="s">
        <v>317</v>
      </c>
      <c r="F82" s="171" t="s">
        <v>316</v>
      </c>
      <c r="G82" s="171" t="s">
        <v>391</v>
      </c>
      <c r="H82" s="171" t="s">
        <v>43</v>
      </c>
      <c r="I82" s="172"/>
      <c r="J82" s="171"/>
      <c r="K82" s="174" t="s">
        <v>38</v>
      </c>
      <c r="L82" s="211"/>
      <c r="M82" s="176"/>
      <c r="N82" s="176"/>
      <c r="O82" s="176"/>
      <c r="P82" s="111"/>
      <c r="Q82" s="111"/>
      <c r="R82" s="111"/>
      <c r="S82" s="111"/>
      <c r="T82" s="112"/>
      <c r="U82" s="112"/>
      <c r="V82" s="112"/>
      <c r="W82" s="112"/>
      <c r="X82" s="112"/>
      <c r="Y82" s="112"/>
      <c r="Z82" s="112"/>
      <c r="AA82" s="112"/>
      <c r="AB82" s="112"/>
      <c r="AC82" s="104"/>
    </row>
    <row r="83" spans="1:29" ht="72.599999999999994" customHeight="1" thickBot="1">
      <c r="A83" s="153">
        <v>73</v>
      </c>
      <c r="B83" s="133"/>
      <c r="C83" s="133"/>
      <c r="D83" s="296"/>
      <c r="E83" s="171" t="s">
        <v>318</v>
      </c>
      <c r="F83" s="171" t="s">
        <v>319</v>
      </c>
      <c r="G83" s="171" t="s">
        <v>390</v>
      </c>
      <c r="H83" s="171" t="s">
        <v>43</v>
      </c>
      <c r="I83" s="172"/>
      <c r="J83" s="171"/>
      <c r="K83" s="174" t="s">
        <v>38</v>
      </c>
      <c r="L83" s="211"/>
      <c r="M83" s="176"/>
      <c r="N83" s="176"/>
      <c r="O83" s="176"/>
      <c r="P83" s="111"/>
      <c r="Q83" s="111"/>
      <c r="R83" s="111"/>
      <c r="S83" s="111"/>
      <c r="T83" s="112"/>
      <c r="U83" s="112"/>
      <c r="V83" s="112"/>
      <c r="W83" s="112"/>
      <c r="X83" s="112"/>
      <c r="Y83" s="112"/>
      <c r="Z83" s="112"/>
      <c r="AA83" s="112"/>
      <c r="AB83" s="112"/>
      <c r="AC83" s="104"/>
    </row>
    <row r="84" spans="1:29" ht="72.599999999999994" customHeight="1" thickBot="1">
      <c r="A84" s="153">
        <v>74</v>
      </c>
      <c r="B84" s="133"/>
      <c r="C84" s="133"/>
      <c r="D84" s="296"/>
      <c r="E84" s="171" t="s">
        <v>320</v>
      </c>
      <c r="F84" s="171" t="s">
        <v>321</v>
      </c>
      <c r="G84" s="171" t="s">
        <v>392</v>
      </c>
      <c r="H84" s="171" t="s">
        <v>43</v>
      </c>
      <c r="I84" s="172"/>
      <c r="J84" s="171"/>
      <c r="K84" s="174" t="s">
        <v>38</v>
      </c>
      <c r="L84" s="211"/>
      <c r="M84" s="176"/>
      <c r="N84" s="176"/>
      <c r="O84" s="176"/>
      <c r="P84" s="111"/>
      <c r="Q84" s="111"/>
      <c r="R84" s="111"/>
      <c r="S84" s="111"/>
      <c r="T84" s="112"/>
      <c r="U84" s="112"/>
      <c r="V84" s="112"/>
      <c r="W84" s="112"/>
      <c r="X84" s="112"/>
      <c r="Y84" s="112"/>
      <c r="Z84" s="112"/>
      <c r="AA84" s="112"/>
      <c r="AB84" s="112"/>
      <c r="AC84" s="104"/>
    </row>
    <row r="85" spans="1:29" ht="72.599999999999994" customHeight="1" thickBot="1">
      <c r="A85" s="153">
        <v>75</v>
      </c>
      <c r="B85" s="133"/>
      <c r="C85" s="133"/>
      <c r="D85" s="296"/>
      <c r="E85" s="171" t="s">
        <v>322</v>
      </c>
      <c r="F85" s="171" t="s">
        <v>323</v>
      </c>
      <c r="G85" s="171" t="s">
        <v>393</v>
      </c>
      <c r="H85" s="171" t="s">
        <v>43</v>
      </c>
      <c r="I85" s="172"/>
      <c r="J85" s="171"/>
      <c r="K85" s="174" t="s">
        <v>38</v>
      </c>
      <c r="L85" s="211"/>
      <c r="M85" s="176"/>
      <c r="N85" s="176"/>
      <c r="O85" s="176"/>
      <c r="P85" s="111"/>
      <c r="Q85" s="111"/>
      <c r="R85" s="111"/>
      <c r="S85" s="111"/>
      <c r="T85" s="112"/>
      <c r="U85" s="112"/>
      <c r="V85" s="112"/>
      <c r="W85" s="112"/>
      <c r="X85" s="112"/>
      <c r="Y85" s="112"/>
      <c r="Z85" s="112"/>
      <c r="AA85" s="112"/>
      <c r="AB85" s="112"/>
      <c r="AC85" s="104"/>
    </row>
    <row r="86" spans="1:29" ht="72.599999999999994" customHeight="1" thickBot="1">
      <c r="A86" s="153">
        <v>76</v>
      </c>
      <c r="B86" s="133"/>
      <c r="C86" s="133"/>
      <c r="D86" s="296"/>
      <c r="E86" s="171" t="s">
        <v>324</v>
      </c>
      <c r="F86" s="171" t="s">
        <v>325</v>
      </c>
      <c r="G86" s="171" t="s">
        <v>519</v>
      </c>
      <c r="H86" s="171" t="s">
        <v>500</v>
      </c>
      <c r="I86" s="172"/>
      <c r="J86" s="171"/>
      <c r="K86" s="174" t="s">
        <v>42</v>
      </c>
      <c r="L86" s="211"/>
      <c r="M86" s="176"/>
      <c r="N86" s="176"/>
      <c r="O86" s="176"/>
      <c r="P86" s="111"/>
      <c r="Q86" s="111"/>
      <c r="R86" s="111"/>
      <c r="S86" s="111"/>
      <c r="T86" s="112"/>
      <c r="U86" s="112"/>
      <c r="V86" s="112"/>
      <c r="W86" s="112"/>
      <c r="X86" s="112"/>
      <c r="Y86" s="112"/>
      <c r="Z86" s="112"/>
      <c r="AA86" s="112"/>
      <c r="AB86" s="112"/>
      <c r="AC86" s="104"/>
    </row>
    <row r="87" spans="1:29" ht="72.599999999999994" customHeight="1" thickBot="1">
      <c r="A87" s="214">
        <v>77</v>
      </c>
      <c r="B87" s="133"/>
      <c r="C87" s="133"/>
      <c r="D87" s="296"/>
      <c r="E87" s="171" t="s">
        <v>328</v>
      </c>
      <c r="F87" s="171" t="s">
        <v>395</v>
      </c>
      <c r="G87" s="171" t="s">
        <v>394</v>
      </c>
      <c r="H87" s="171" t="s">
        <v>500</v>
      </c>
      <c r="I87" s="172"/>
      <c r="J87" s="171"/>
      <c r="K87" s="174" t="s">
        <v>42</v>
      </c>
      <c r="L87" s="211"/>
      <c r="M87" s="176"/>
      <c r="N87" s="176"/>
      <c r="O87" s="176"/>
      <c r="P87" s="111"/>
      <c r="Q87" s="111"/>
      <c r="R87" s="111"/>
      <c r="S87" s="111"/>
      <c r="T87" s="112"/>
      <c r="U87" s="112"/>
      <c r="V87" s="112"/>
      <c r="W87" s="112"/>
      <c r="X87" s="112"/>
      <c r="Y87" s="112"/>
      <c r="Z87" s="112"/>
      <c r="AA87" s="112"/>
      <c r="AB87" s="112"/>
      <c r="AC87" s="104"/>
    </row>
    <row r="88" spans="1:29" ht="72.599999999999994" customHeight="1" thickBot="1">
      <c r="A88" s="214">
        <v>78</v>
      </c>
      <c r="B88" s="133"/>
      <c r="C88" s="133"/>
      <c r="D88" s="296"/>
      <c r="E88" s="171" t="s">
        <v>329</v>
      </c>
      <c r="F88" s="171" t="s">
        <v>330</v>
      </c>
      <c r="G88" s="171" t="s">
        <v>396</v>
      </c>
      <c r="H88" s="171" t="s">
        <v>43</v>
      </c>
      <c r="I88" s="172"/>
      <c r="J88" s="171"/>
      <c r="K88" s="174" t="s">
        <v>38</v>
      </c>
      <c r="L88" s="211"/>
      <c r="M88" s="176"/>
      <c r="N88" s="176"/>
      <c r="O88" s="176"/>
      <c r="P88" s="111"/>
      <c r="Q88" s="111"/>
      <c r="R88" s="111"/>
      <c r="S88" s="111"/>
      <c r="T88" s="112"/>
      <c r="U88" s="112"/>
      <c r="V88" s="112"/>
      <c r="W88" s="112"/>
      <c r="X88" s="112"/>
      <c r="Y88" s="112"/>
      <c r="Z88" s="112"/>
      <c r="AA88" s="112"/>
      <c r="AB88" s="112"/>
      <c r="AC88" s="104"/>
    </row>
    <row r="89" spans="1:29" ht="72.599999999999994" customHeight="1" thickBot="1">
      <c r="A89" s="214">
        <v>79</v>
      </c>
      <c r="B89" s="133"/>
      <c r="C89" s="133"/>
      <c r="D89" s="296"/>
      <c r="E89" s="171" t="s">
        <v>331</v>
      </c>
      <c r="F89" s="171" t="s">
        <v>332</v>
      </c>
      <c r="G89" s="171" t="s">
        <v>518</v>
      </c>
      <c r="H89" s="171" t="s">
        <v>43</v>
      </c>
      <c r="I89" s="172"/>
      <c r="J89" s="171"/>
      <c r="K89" s="174" t="s">
        <v>38</v>
      </c>
      <c r="L89" s="211"/>
      <c r="M89" s="176"/>
      <c r="N89" s="176"/>
      <c r="O89" s="176"/>
      <c r="P89" s="111"/>
      <c r="Q89" s="111"/>
      <c r="R89" s="111"/>
      <c r="S89" s="111"/>
      <c r="T89" s="112"/>
      <c r="U89" s="112"/>
      <c r="V89" s="112"/>
      <c r="W89" s="112"/>
      <c r="X89" s="112"/>
      <c r="Y89" s="112"/>
      <c r="Z89" s="112"/>
      <c r="AA89" s="112"/>
      <c r="AB89" s="112"/>
      <c r="AC89" s="104"/>
    </row>
    <row r="90" spans="1:29" ht="72.599999999999994" customHeight="1" thickBot="1">
      <c r="A90" s="214">
        <v>80</v>
      </c>
      <c r="B90" s="133"/>
      <c r="C90" s="133"/>
      <c r="D90" s="296"/>
      <c r="E90" s="171" t="s">
        <v>326</v>
      </c>
      <c r="F90" s="171" t="s">
        <v>327</v>
      </c>
      <c r="G90" s="171" t="s">
        <v>517</v>
      </c>
      <c r="H90" s="171" t="s">
        <v>43</v>
      </c>
      <c r="I90" s="172"/>
      <c r="J90" s="171"/>
      <c r="K90" s="174" t="s">
        <v>38</v>
      </c>
      <c r="L90" s="211"/>
      <c r="M90" s="176"/>
      <c r="N90" s="176"/>
      <c r="O90" s="176"/>
      <c r="P90" s="111"/>
      <c r="Q90" s="111"/>
      <c r="R90" s="111"/>
      <c r="S90" s="111"/>
      <c r="T90" s="112"/>
      <c r="U90" s="112"/>
      <c r="V90" s="112"/>
      <c r="W90" s="112"/>
      <c r="X90" s="112"/>
      <c r="Y90" s="112"/>
      <c r="Z90" s="112"/>
      <c r="AA90" s="112"/>
      <c r="AB90" s="112"/>
      <c r="AC90" s="104"/>
    </row>
    <row r="91" spans="1:29" ht="72.599999999999994" customHeight="1" thickBot="1">
      <c r="A91" s="214">
        <v>81</v>
      </c>
      <c r="B91" s="133"/>
      <c r="C91" s="133"/>
      <c r="D91" s="296"/>
      <c r="E91" s="171" t="s">
        <v>314</v>
      </c>
      <c r="F91" s="171" t="s">
        <v>315</v>
      </c>
      <c r="G91" s="171" t="s">
        <v>516</v>
      </c>
      <c r="H91" s="171" t="s">
        <v>43</v>
      </c>
      <c r="I91" s="172"/>
      <c r="J91" s="171"/>
      <c r="K91" s="174" t="s">
        <v>38</v>
      </c>
      <c r="L91" s="211"/>
      <c r="M91" s="176"/>
      <c r="N91" s="176"/>
      <c r="O91" s="176"/>
      <c r="P91" s="111"/>
      <c r="Q91" s="111"/>
      <c r="R91" s="111"/>
      <c r="S91" s="111"/>
      <c r="T91" s="112"/>
      <c r="U91" s="112"/>
      <c r="V91" s="112"/>
      <c r="W91" s="112"/>
      <c r="X91" s="112"/>
      <c r="Y91" s="112"/>
      <c r="Z91" s="112"/>
      <c r="AA91" s="112"/>
      <c r="AB91" s="112"/>
      <c r="AC91" s="104"/>
    </row>
    <row r="92" spans="1:29" ht="72.599999999999994" customHeight="1" thickBot="1">
      <c r="A92" s="214">
        <v>82</v>
      </c>
      <c r="B92" s="133"/>
      <c r="C92" s="133"/>
      <c r="D92" s="296"/>
      <c r="E92" s="171" t="s">
        <v>312</v>
      </c>
      <c r="F92" s="171" t="s">
        <v>313</v>
      </c>
      <c r="G92" s="171" t="s">
        <v>388</v>
      </c>
      <c r="H92" s="171" t="s">
        <v>43</v>
      </c>
      <c r="I92" s="172"/>
      <c r="J92" s="171"/>
      <c r="K92" s="174" t="s">
        <v>38</v>
      </c>
      <c r="L92" s="211"/>
      <c r="M92" s="176"/>
      <c r="N92" s="176"/>
      <c r="O92" s="176"/>
      <c r="P92" s="111"/>
      <c r="Q92" s="111"/>
      <c r="R92" s="111"/>
      <c r="S92" s="111"/>
      <c r="T92" s="112"/>
      <c r="U92" s="112"/>
      <c r="V92" s="112"/>
      <c r="W92" s="112"/>
      <c r="X92" s="112"/>
      <c r="Y92" s="112"/>
      <c r="Z92" s="112"/>
      <c r="AA92" s="112"/>
      <c r="AB92" s="112"/>
      <c r="AC92" s="104"/>
    </row>
    <row r="93" spans="1:29" ht="72.599999999999994" customHeight="1" thickBot="1">
      <c r="A93" s="214">
        <v>83</v>
      </c>
      <c r="B93" s="133"/>
      <c r="C93" s="133"/>
      <c r="D93" s="296"/>
      <c r="E93" s="171" t="s">
        <v>112</v>
      </c>
      <c r="F93" s="171" t="s">
        <v>385</v>
      </c>
      <c r="G93" s="171" t="s">
        <v>386</v>
      </c>
      <c r="H93" s="171" t="s">
        <v>43</v>
      </c>
      <c r="I93" s="171"/>
      <c r="J93" s="171"/>
      <c r="K93" s="161" t="s">
        <v>38</v>
      </c>
      <c r="L93" s="211"/>
      <c r="M93" s="176"/>
      <c r="N93" s="176"/>
      <c r="O93" s="176"/>
      <c r="P93" s="111"/>
      <c r="Q93" s="111"/>
      <c r="R93" s="111"/>
      <c r="S93" s="111"/>
      <c r="T93" s="112"/>
      <c r="U93" s="112"/>
      <c r="V93" s="112"/>
      <c r="W93" s="112"/>
      <c r="X93" s="112"/>
      <c r="Y93" s="112"/>
      <c r="Z93" s="112"/>
      <c r="AA93" s="112"/>
      <c r="AB93" s="112"/>
      <c r="AC93" s="104"/>
    </row>
    <row r="94" spans="1:29" ht="72.599999999999994" customHeight="1" thickBot="1">
      <c r="A94" s="215">
        <v>84</v>
      </c>
      <c r="B94" s="133"/>
      <c r="C94" s="133"/>
      <c r="D94" s="296"/>
      <c r="E94" s="171" t="s">
        <v>113</v>
      </c>
      <c r="F94" s="171" t="s">
        <v>387</v>
      </c>
      <c r="G94" s="171" t="s">
        <v>388</v>
      </c>
      <c r="H94" s="171" t="s">
        <v>43</v>
      </c>
      <c r="I94" s="171"/>
      <c r="J94" s="171"/>
      <c r="K94" s="161" t="s">
        <v>38</v>
      </c>
      <c r="L94" s="211"/>
      <c r="M94" s="176"/>
      <c r="N94" s="176"/>
      <c r="O94" s="176"/>
      <c r="P94" s="111"/>
      <c r="Q94" s="111"/>
      <c r="R94" s="111"/>
      <c r="S94" s="111"/>
      <c r="T94" s="112"/>
      <c r="U94" s="112"/>
      <c r="V94" s="112"/>
      <c r="W94" s="112"/>
      <c r="X94" s="112"/>
      <c r="Y94" s="112"/>
      <c r="Z94" s="112"/>
      <c r="AA94" s="112"/>
      <c r="AB94" s="112"/>
      <c r="AC94" s="104"/>
    </row>
    <row r="95" spans="1:29" ht="72.599999999999994" customHeight="1" thickBot="1">
      <c r="A95" s="215">
        <v>85</v>
      </c>
      <c r="B95" s="133"/>
      <c r="C95" s="133"/>
      <c r="D95" s="296"/>
      <c r="E95" s="210" t="s">
        <v>114</v>
      </c>
      <c r="F95" s="210" t="s">
        <v>310</v>
      </c>
      <c r="G95" s="158" t="s">
        <v>389</v>
      </c>
      <c r="H95" s="171" t="s">
        <v>43</v>
      </c>
      <c r="I95" s="171"/>
      <c r="J95" s="171"/>
      <c r="K95" s="161" t="s">
        <v>38</v>
      </c>
      <c r="L95" s="211"/>
      <c r="M95" s="176"/>
      <c r="N95" s="176"/>
      <c r="O95" s="176"/>
      <c r="P95" s="111"/>
      <c r="Q95" s="111"/>
      <c r="R95" s="111"/>
      <c r="S95" s="111"/>
      <c r="T95" s="112"/>
      <c r="U95" s="112"/>
      <c r="V95" s="112"/>
      <c r="W95" s="112"/>
      <c r="X95" s="112"/>
      <c r="Y95" s="112"/>
      <c r="Z95" s="112"/>
      <c r="AA95" s="112"/>
      <c r="AB95" s="112"/>
      <c r="AC95" s="104"/>
    </row>
    <row r="96" spans="1:29" ht="72.599999999999994" customHeight="1" thickBot="1">
      <c r="A96" s="216">
        <v>86</v>
      </c>
      <c r="B96" s="217"/>
      <c r="C96" s="217"/>
      <c r="D96" s="297"/>
      <c r="E96" s="218" t="s">
        <v>115</v>
      </c>
      <c r="F96" s="218" t="s">
        <v>309</v>
      </c>
      <c r="G96" s="218" t="s">
        <v>515</v>
      </c>
      <c r="H96" s="218" t="s">
        <v>43</v>
      </c>
      <c r="I96" s="219"/>
      <c r="J96" s="218"/>
      <c r="K96" s="220" t="s">
        <v>38</v>
      </c>
      <c r="L96" s="221"/>
      <c r="M96" s="222"/>
      <c r="N96" s="222"/>
      <c r="O96" s="222"/>
      <c r="P96" s="111"/>
      <c r="Q96" s="111"/>
      <c r="R96" s="111"/>
      <c r="S96" s="111"/>
      <c r="T96" s="112"/>
      <c r="U96" s="112"/>
      <c r="V96" s="112"/>
      <c r="W96" s="112"/>
      <c r="X96" s="112"/>
      <c r="Y96" s="112"/>
      <c r="Z96" s="112"/>
      <c r="AA96" s="112"/>
      <c r="AB96" s="112"/>
      <c r="AC96" s="104"/>
    </row>
    <row r="97" spans="1:29" ht="72.599999999999994" customHeight="1" thickBot="1">
      <c r="A97" s="153">
        <v>87</v>
      </c>
      <c r="B97" s="154"/>
      <c r="C97" s="133"/>
      <c r="D97" s="291" t="s">
        <v>116</v>
      </c>
      <c r="E97" s="171" t="s">
        <v>117</v>
      </c>
      <c r="F97" s="171" t="s">
        <v>457</v>
      </c>
      <c r="G97" s="171" t="s">
        <v>458</v>
      </c>
      <c r="H97" s="171" t="s">
        <v>43</v>
      </c>
      <c r="I97" s="172"/>
      <c r="J97" s="171"/>
      <c r="K97" s="174" t="s">
        <v>38</v>
      </c>
      <c r="L97" s="211"/>
      <c r="M97" s="176"/>
      <c r="N97" s="176"/>
      <c r="O97" s="176"/>
      <c r="P97" s="111"/>
      <c r="Q97" s="111"/>
      <c r="R97" s="111"/>
      <c r="S97" s="111"/>
      <c r="T97" s="112"/>
      <c r="U97" s="112"/>
      <c r="V97" s="112"/>
      <c r="W97" s="112"/>
      <c r="X97" s="112"/>
      <c r="Y97" s="112"/>
      <c r="Z97" s="112"/>
      <c r="AA97" s="112"/>
      <c r="AB97" s="112"/>
      <c r="AC97" s="104"/>
    </row>
    <row r="98" spans="1:29" ht="72.599999999999994" customHeight="1" thickBot="1">
      <c r="A98" s="153">
        <v>88</v>
      </c>
      <c r="B98" s="154"/>
      <c r="C98" s="133"/>
      <c r="D98" s="292"/>
      <c r="E98" s="158" t="s">
        <v>118</v>
      </c>
      <c r="F98" s="158" t="s">
        <v>459</v>
      </c>
      <c r="G98" s="171" t="s">
        <v>460</v>
      </c>
      <c r="H98" s="171" t="s">
        <v>43</v>
      </c>
      <c r="I98" s="172"/>
      <c r="J98" s="171"/>
      <c r="K98" s="174" t="s">
        <v>38</v>
      </c>
      <c r="L98" s="211"/>
      <c r="M98" s="176"/>
      <c r="N98" s="176"/>
      <c r="O98" s="176"/>
      <c r="P98" s="111"/>
      <c r="Q98" s="111"/>
      <c r="R98" s="111"/>
      <c r="S98" s="111"/>
      <c r="T98" s="112"/>
      <c r="U98" s="112"/>
      <c r="V98" s="112"/>
      <c r="W98" s="112"/>
      <c r="X98" s="112"/>
      <c r="Y98" s="112"/>
      <c r="Z98" s="112"/>
      <c r="AA98" s="112"/>
      <c r="AB98" s="112"/>
      <c r="AC98" s="104"/>
    </row>
    <row r="99" spans="1:29" ht="72.599999999999994" customHeight="1" thickBot="1">
      <c r="A99" s="153">
        <v>89</v>
      </c>
      <c r="B99" s="154"/>
      <c r="C99" s="133"/>
      <c r="D99" s="292"/>
      <c r="E99" s="158" t="s">
        <v>119</v>
      </c>
      <c r="F99" s="158" t="s">
        <v>461</v>
      </c>
      <c r="G99" s="171" t="s">
        <v>462</v>
      </c>
      <c r="H99" s="171" t="s">
        <v>43</v>
      </c>
      <c r="I99" s="172"/>
      <c r="J99" s="171"/>
      <c r="K99" s="174" t="s">
        <v>38</v>
      </c>
      <c r="L99" s="211"/>
      <c r="M99" s="176"/>
      <c r="N99" s="176"/>
      <c r="O99" s="176"/>
      <c r="P99" s="111"/>
      <c r="Q99" s="111"/>
      <c r="R99" s="111"/>
      <c r="S99" s="111"/>
      <c r="T99" s="112"/>
      <c r="U99" s="112"/>
      <c r="V99" s="112"/>
      <c r="W99" s="112"/>
      <c r="X99" s="112"/>
      <c r="Y99" s="112"/>
      <c r="Z99" s="112"/>
      <c r="AA99" s="112"/>
      <c r="AB99" s="112"/>
      <c r="AC99" s="104"/>
    </row>
    <row r="100" spans="1:29" ht="72.599999999999994" customHeight="1" thickBot="1">
      <c r="A100" s="196">
        <v>90</v>
      </c>
      <c r="B100" s="197"/>
      <c r="C100" s="197"/>
      <c r="D100" s="292"/>
      <c r="E100" s="223" t="s">
        <v>507</v>
      </c>
      <c r="F100" s="223" t="s">
        <v>463</v>
      </c>
      <c r="G100" s="224" t="s">
        <v>462</v>
      </c>
      <c r="H100" s="224" t="s">
        <v>43</v>
      </c>
      <c r="I100" s="225"/>
      <c r="J100" s="226"/>
      <c r="K100" s="227" t="s">
        <v>38</v>
      </c>
      <c r="L100" s="228"/>
      <c r="M100" s="206"/>
      <c r="N100" s="206"/>
      <c r="O100" s="206"/>
      <c r="P100" s="111"/>
      <c r="Q100" s="111"/>
      <c r="R100" s="111"/>
      <c r="S100" s="111"/>
      <c r="T100" s="112"/>
      <c r="U100" s="112"/>
      <c r="V100" s="112"/>
      <c r="W100" s="112"/>
      <c r="X100" s="112"/>
      <c r="Y100" s="112"/>
      <c r="Z100" s="112"/>
      <c r="AA100" s="112"/>
      <c r="AB100" s="112"/>
      <c r="AC100" s="104"/>
    </row>
    <row r="101" spans="1:29" ht="72.599999999999994" customHeight="1" thickBot="1">
      <c r="A101" s="153">
        <v>91</v>
      </c>
      <c r="B101" s="133"/>
      <c r="C101" s="133"/>
      <c r="D101" s="292"/>
      <c r="E101" s="171" t="s">
        <v>120</v>
      </c>
      <c r="F101" s="171" t="s">
        <v>464</v>
      </c>
      <c r="G101" s="229" t="s">
        <v>465</v>
      </c>
      <c r="H101" s="229" t="s">
        <v>43</v>
      </c>
      <c r="I101" s="230"/>
      <c r="J101" s="229"/>
      <c r="K101" s="231" t="s">
        <v>38</v>
      </c>
      <c r="L101" s="177"/>
      <c r="M101" s="232"/>
      <c r="N101" s="232"/>
      <c r="O101" s="232"/>
      <c r="P101" s="114"/>
      <c r="Q101" s="114"/>
      <c r="R101" s="114"/>
      <c r="S101" s="114"/>
      <c r="T101" s="108"/>
      <c r="U101" s="108"/>
      <c r="V101" s="108"/>
      <c r="W101" s="108"/>
      <c r="X101" s="108"/>
      <c r="Y101" s="108"/>
      <c r="Z101" s="108"/>
      <c r="AA101" s="108"/>
      <c r="AB101" s="108"/>
      <c r="AC101" s="104"/>
    </row>
    <row r="102" spans="1:29" ht="72.599999999999994" customHeight="1" thickBot="1">
      <c r="A102" s="153">
        <v>92</v>
      </c>
      <c r="B102" s="133"/>
      <c r="C102" s="133"/>
      <c r="D102" s="292"/>
      <c r="E102" s="171" t="s">
        <v>121</v>
      </c>
      <c r="F102" s="171" t="s">
        <v>466</v>
      </c>
      <c r="G102" s="229" t="s">
        <v>467</v>
      </c>
      <c r="H102" s="229" t="s">
        <v>43</v>
      </c>
      <c r="I102" s="230"/>
      <c r="J102" s="233"/>
      <c r="K102" s="231" t="s">
        <v>38</v>
      </c>
      <c r="L102" s="177"/>
      <c r="M102" s="232"/>
      <c r="N102" s="232"/>
      <c r="O102" s="232"/>
      <c r="P102" s="114"/>
      <c r="Q102" s="114"/>
      <c r="R102" s="114"/>
      <c r="S102" s="114"/>
      <c r="T102" s="108"/>
      <c r="U102" s="108"/>
      <c r="V102" s="108"/>
      <c r="W102" s="108"/>
      <c r="X102" s="108"/>
      <c r="Y102" s="108"/>
      <c r="Z102" s="108"/>
      <c r="AA102" s="108"/>
      <c r="AB102" s="108"/>
      <c r="AC102" s="104"/>
    </row>
    <row r="103" spans="1:29" ht="72.599999999999994" customHeight="1" thickBot="1">
      <c r="A103" s="153">
        <v>93</v>
      </c>
      <c r="B103" s="133"/>
      <c r="C103" s="133"/>
      <c r="D103" s="292"/>
      <c r="E103" s="171" t="s">
        <v>122</v>
      </c>
      <c r="F103" s="171" t="s">
        <v>468</v>
      </c>
      <c r="G103" s="229" t="s">
        <v>469</v>
      </c>
      <c r="H103" s="229" t="s">
        <v>43</v>
      </c>
      <c r="I103" s="230"/>
      <c r="J103" s="229"/>
      <c r="K103" s="231" t="s">
        <v>38</v>
      </c>
      <c r="L103" s="177"/>
      <c r="M103" s="232"/>
      <c r="N103" s="232"/>
      <c r="O103" s="232"/>
      <c r="P103" s="114"/>
      <c r="Q103" s="114"/>
      <c r="R103" s="114"/>
      <c r="S103" s="114"/>
      <c r="T103" s="115"/>
      <c r="U103" s="115"/>
      <c r="V103" s="115"/>
      <c r="W103" s="115"/>
      <c r="X103" s="115"/>
      <c r="Y103" s="115"/>
      <c r="Z103" s="115"/>
      <c r="AA103" s="115"/>
      <c r="AB103" s="115"/>
      <c r="AC103" s="104"/>
    </row>
    <row r="104" spans="1:29" ht="72.599999999999994" customHeight="1" thickBot="1">
      <c r="A104" s="153">
        <v>94</v>
      </c>
      <c r="B104" s="133"/>
      <c r="C104" s="133"/>
      <c r="D104" s="292"/>
      <c r="E104" s="171" t="s">
        <v>123</v>
      </c>
      <c r="F104" s="171" t="s">
        <v>470</v>
      </c>
      <c r="G104" s="229" t="s">
        <v>469</v>
      </c>
      <c r="H104" s="229" t="s">
        <v>43</v>
      </c>
      <c r="I104" s="230"/>
      <c r="J104" s="229"/>
      <c r="K104" s="231" t="s">
        <v>38</v>
      </c>
      <c r="L104" s="177"/>
      <c r="M104" s="232"/>
      <c r="N104" s="232"/>
      <c r="O104" s="232"/>
      <c r="P104" s="114"/>
      <c r="Q104" s="114"/>
      <c r="R104" s="114"/>
      <c r="S104" s="114"/>
      <c r="T104" s="108"/>
      <c r="U104" s="108"/>
      <c r="V104" s="108"/>
      <c r="W104" s="108"/>
      <c r="X104" s="108"/>
      <c r="Y104" s="108"/>
      <c r="Z104" s="108"/>
      <c r="AA104" s="108"/>
      <c r="AB104" s="108"/>
      <c r="AC104" s="104"/>
    </row>
    <row r="105" spans="1:29" ht="72.599999999999994" customHeight="1" thickBot="1">
      <c r="A105" s="196">
        <v>95</v>
      </c>
      <c r="B105" s="197"/>
      <c r="C105" s="197"/>
      <c r="D105" s="292"/>
      <c r="E105" s="234" t="s">
        <v>124</v>
      </c>
      <c r="F105" s="234" t="s">
        <v>471</v>
      </c>
      <c r="G105" s="234" t="s">
        <v>472</v>
      </c>
      <c r="H105" s="234" t="s">
        <v>43</v>
      </c>
      <c r="I105" s="269"/>
      <c r="J105" s="234"/>
      <c r="K105" s="270" t="s">
        <v>38</v>
      </c>
      <c r="L105" s="205"/>
      <c r="M105" s="271"/>
      <c r="N105" s="271"/>
      <c r="O105" s="271"/>
      <c r="P105" s="116"/>
      <c r="Q105" s="116"/>
      <c r="R105" s="116"/>
      <c r="S105" s="116"/>
      <c r="T105" s="117"/>
      <c r="U105" s="117"/>
      <c r="V105" s="117"/>
      <c r="W105" s="117"/>
      <c r="X105" s="117"/>
      <c r="Y105" s="117"/>
      <c r="Z105" s="117"/>
      <c r="AA105" s="117"/>
      <c r="AB105" s="117"/>
      <c r="AC105" s="104"/>
    </row>
    <row r="106" spans="1:29" ht="72.599999999999994" customHeight="1" thickBot="1">
      <c r="A106" s="153">
        <v>96</v>
      </c>
      <c r="B106" s="133"/>
      <c r="C106" s="133"/>
      <c r="D106" s="292"/>
      <c r="E106" s="231" t="s">
        <v>125</v>
      </c>
      <c r="F106" s="231" t="s">
        <v>473</v>
      </c>
      <c r="G106" s="229" t="s">
        <v>474</v>
      </c>
      <c r="H106" s="229" t="s">
        <v>43</v>
      </c>
      <c r="I106" s="230"/>
      <c r="J106" s="229"/>
      <c r="K106" s="231" t="s">
        <v>38</v>
      </c>
      <c r="L106" s="177"/>
      <c r="M106" s="232"/>
      <c r="N106" s="232"/>
      <c r="O106" s="232"/>
      <c r="P106" s="114"/>
      <c r="Q106" s="114"/>
      <c r="R106" s="114"/>
      <c r="S106" s="114"/>
      <c r="T106" s="108"/>
      <c r="U106" s="108"/>
      <c r="V106" s="108"/>
      <c r="W106" s="108"/>
      <c r="X106" s="108"/>
      <c r="Y106" s="108"/>
      <c r="Z106" s="108"/>
      <c r="AA106" s="108"/>
      <c r="AB106" s="108"/>
      <c r="AC106" s="104"/>
    </row>
    <row r="107" spans="1:29" ht="72.599999999999994" customHeight="1" thickBot="1">
      <c r="A107" s="153">
        <v>97</v>
      </c>
      <c r="B107" s="133"/>
      <c r="C107" s="133"/>
      <c r="D107" s="292"/>
      <c r="E107" s="229" t="s">
        <v>126</v>
      </c>
      <c r="F107" s="229" t="s">
        <v>476</v>
      </c>
      <c r="G107" s="229" t="s">
        <v>475</v>
      </c>
      <c r="H107" s="229" t="s">
        <v>43</v>
      </c>
      <c r="I107" s="230"/>
      <c r="J107" s="229"/>
      <c r="K107" s="231" t="s">
        <v>38</v>
      </c>
      <c r="L107" s="177"/>
      <c r="M107" s="232"/>
      <c r="N107" s="232"/>
      <c r="O107" s="232"/>
      <c r="P107" s="114"/>
      <c r="Q107" s="114"/>
      <c r="R107" s="114"/>
      <c r="S107" s="114"/>
      <c r="T107" s="108"/>
      <c r="U107" s="108"/>
      <c r="V107" s="108"/>
      <c r="W107" s="108"/>
      <c r="X107" s="108"/>
      <c r="Y107" s="108"/>
      <c r="Z107" s="108"/>
      <c r="AA107" s="108"/>
      <c r="AB107" s="108"/>
      <c r="AC107" s="104"/>
    </row>
    <row r="108" spans="1:29" ht="72.599999999999994" customHeight="1" thickBot="1">
      <c r="A108" s="153">
        <v>98</v>
      </c>
      <c r="B108" s="133"/>
      <c r="C108" s="133"/>
      <c r="D108" s="292"/>
      <c r="E108" s="229" t="s">
        <v>127</v>
      </c>
      <c r="F108" s="229" t="s">
        <v>477</v>
      </c>
      <c r="G108" s="229" t="s">
        <v>478</v>
      </c>
      <c r="H108" s="229" t="s">
        <v>43</v>
      </c>
      <c r="I108" s="230"/>
      <c r="J108" s="229"/>
      <c r="K108" s="231" t="s">
        <v>38</v>
      </c>
      <c r="L108" s="177"/>
      <c r="M108" s="232"/>
      <c r="N108" s="232"/>
      <c r="O108" s="232"/>
      <c r="P108" s="114"/>
      <c r="Q108" s="114"/>
      <c r="R108" s="114"/>
      <c r="S108" s="114"/>
      <c r="T108" s="108"/>
      <c r="U108" s="108"/>
      <c r="V108" s="108"/>
      <c r="W108" s="108"/>
      <c r="X108" s="108"/>
      <c r="Y108" s="108"/>
      <c r="Z108" s="108"/>
      <c r="AA108" s="108"/>
      <c r="AB108" s="108"/>
      <c r="AC108" s="104"/>
    </row>
    <row r="109" spans="1:29" ht="73.2" customHeight="1" thickBot="1">
      <c r="A109" s="153">
        <v>99</v>
      </c>
      <c r="B109" s="133"/>
      <c r="C109" s="133"/>
      <c r="D109" s="292"/>
      <c r="E109" s="235" t="s">
        <v>128</v>
      </c>
      <c r="F109" s="235" t="s">
        <v>479</v>
      </c>
      <c r="G109" s="235" t="s">
        <v>480</v>
      </c>
      <c r="H109" s="235" t="s">
        <v>43</v>
      </c>
      <c r="I109" s="236"/>
      <c r="J109" s="235"/>
      <c r="K109" s="237" t="s">
        <v>38</v>
      </c>
      <c r="L109" s="185"/>
      <c r="M109" s="232"/>
      <c r="N109" s="232"/>
      <c r="O109" s="232"/>
      <c r="P109" s="114"/>
      <c r="Q109" s="114"/>
      <c r="R109" s="114"/>
      <c r="S109" s="114"/>
      <c r="T109" s="108"/>
      <c r="U109" s="108"/>
      <c r="V109" s="108"/>
      <c r="W109" s="108"/>
      <c r="X109" s="108"/>
      <c r="Y109" s="108"/>
      <c r="Z109" s="108"/>
      <c r="AA109" s="108"/>
      <c r="AB109" s="108"/>
      <c r="AC109" s="104"/>
    </row>
    <row r="110" spans="1:29" ht="73.2" customHeight="1" thickBot="1">
      <c r="A110" s="238">
        <v>100</v>
      </c>
      <c r="B110" s="239"/>
      <c r="C110" s="239"/>
      <c r="D110" s="292"/>
      <c r="E110" s="240" t="s">
        <v>129</v>
      </c>
      <c r="F110" s="241" t="s">
        <v>482</v>
      </c>
      <c r="G110" s="242" t="s">
        <v>481</v>
      </c>
      <c r="H110" s="242" t="s">
        <v>43</v>
      </c>
      <c r="I110" s="243"/>
      <c r="J110" s="244"/>
      <c r="K110" s="245" t="s">
        <v>38</v>
      </c>
      <c r="L110" s="246"/>
      <c r="M110" s="232"/>
      <c r="N110" s="232"/>
      <c r="O110" s="232"/>
      <c r="P110" s="114"/>
      <c r="Q110" s="114"/>
      <c r="R110" s="114"/>
      <c r="S110" s="114"/>
      <c r="T110" s="108"/>
      <c r="U110" s="108"/>
      <c r="V110" s="108"/>
      <c r="W110" s="108"/>
      <c r="X110" s="108"/>
      <c r="Y110" s="108"/>
      <c r="Z110" s="108"/>
      <c r="AA110" s="108"/>
      <c r="AB110" s="108"/>
      <c r="AC110" s="104"/>
    </row>
    <row r="111" spans="1:29" ht="73.2" customHeight="1" thickBot="1">
      <c r="A111" s="123">
        <v>101</v>
      </c>
      <c r="B111" s="125"/>
      <c r="C111" s="125"/>
      <c r="D111" s="292"/>
      <c r="E111" s="240" t="s">
        <v>130</v>
      </c>
      <c r="F111" s="247" t="s">
        <v>484</v>
      </c>
      <c r="G111" s="248" t="s">
        <v>483</v>
      </c>
      <c r="H111" s="232" t="s">
        <v>43</v>
      </c>
      <c r="I111" s="249"/>
      <c r="J111" s="240"/>
      <c r="K111" s="250" t="s">
        <v>38</v>
      </c>
      <c r="L111" s="251"/>
      <c r="M111" s="232"/>
      <c r="N111" s="232"/>
      <c r="O111" s="232"/>
      <c r="P111" s="114"/>
      <c r="Q111" s="114"/>
      <c r="R111" s="114"/>
      <c r="S111" s="114"/>
      <c r="T111" s="108"/>
      <c r="U111" s="108"/>
      <c r="V111" s="108"/>
      <c r="W111" s="108"/>
      <c r="X111" s="108"/>
      <c r="Y111" s="108"/>
      <c r="Z111" s="108"/>
      <c r="AA111" s="108"/>
      <c r="AB111" s="108"/>
      <c r="AC111" s="104"/>
    </row>
    <row r="112" spans="1:29" ht="73.2" customHeight="1" thickBot="1">
      <c r="A112" s="123">
        <v>102</v>
      </c>
      <c r="B112" s="124"/>
      <c r="C112" s="125"/>
      <c r="D112" s="292"/>
      <c r="E112" s="240" t="s">
        <v>333</v>
      </c>
      <c r="F112" s="252" t="s">
        <v>334</v>
      </c>
      <c r="G112" s="240" t="s">
        <v>335</v>
      </c>
      <c r="H112" s="253" t="s">
        <v>43</v>
      </c>
      <c r="I112" s="249"/>
      <c r="J112" s="240"/>
      <c r="K112" s="254" t="s">
        <v>38</v>
      </c>
      <c r="L112" s="254"/>
      <c r="M112" s="232"/>
      <c r="N112" s="232"/>
      <c r="O112" s="232"/>
      <c r="P112" s="114"/>
      <c r="Q112" s="114"/>
      <c r="R112" s="114"/>
      <c r="S112" s="114"/>
      <c r="T112" s="108"/>
      <c r="U112" s="108"/>
      <c r="V112" s="108"/>
      <c r="W112" s="108"/>
      <c r="X112" s="108"/>
      <c r="Y112" s="108"/>
      <c r="Z112" s="108"/>
      <c r="AA112" s="108"/>
      <c r="AB112" s="108"/>
      <c r="AC112" s="104"/>
    </row>
    <row r="113" spans="1:29" ht="73.2" customHeight="1" thickBot="1">
      <c r="A113" s="123">
        <v>103</v>
      </c>
      <c r="B113" s="124"/>
      <c r="C113" s="125"/>
      <c r="D113" s="292"/>
      <c r="E113" s="232" t="s">
        <v>336</v>
      </c>
      <c r="F113" s="248" t="s">
        <v>337</v>
      </c>
      <c r="G113" s="232" t="s">
        <v>338</v>
      </c>
      <c r="H113" s="240" t="s">
        <v>500</v>
      </c>
      <c r="I113" s="249"/>
      <c r="J113" s="240"/>
      <c r="K113" s="255" t="s">
        <v>42</v>
      </c>
      <c r="L113" s="256"/>
      <c r="M113" s="232"/>
      <c r="N113" s="232"/>
      <c r="O113" s="232"/>
      <c r="P113" s="114"/>
      <c r="Q113" s="114"/>
      <c r="R113" s="114"/>
      <c r="S113" s="114"/>
      <c r="T113" s="108"/>
      <c r="U113" s="108"/>
      <c r="V113" s="108"/>
      <c r="W113" s="108"/>
      <c r="X113" s="108"/>
      <c r="Y113" s="108"/>
      <c r="Z113" s="108"/>
      <c r="AA113" s="108"/>
      <c r="AB113" s="108"/>
      <c r="AC113" s="104"/>
    </row>
    <row r="114" spans="1:29" ht="73.2" customHeight="1" thickBot="1">
      <c r="A114" s="123">
        <v>104</v>
      </c>
      <c r="B114" s="124"/>
      <c r="C114" s="125"/>
      <c r="D114" s="292"/>
      <c r="E114" s="257" t="s">
        <v>339</v>
      </c>
      <c r="F114" s="248" t="s">
        <v>340</v>
      </c>
      <c r="G114" s="258" t="s">
        <v>341</v>
      </c>
      <c r="H114" s="232" t="s">
        <v>43</v>
      </c>
      <c r="I114" s="249"/>
      <c r="J114" s="240"/>
      <c r="K114" s="254" t="s">
        <v>38</v>
      </c>
      <c r="L114" s="254"/>
      <c r="M114" s="232"/>
      <c r="N114" s="232"/>
      <c r="O114" s="232"/>
      <c r="P114" s="114"/>
      <c r="Q114" s="114"/>
      <c r="R114" s="114"/>
      <c r="S114" s="114"/>
      <c r="T114" s="108"/>
      <c r="U114" s="108"/>
      <c r="V114" s="108"/>
      <c r="W114" s="108"/>
      <c r="X114" s="108"/>
      <c r="Y114" s="108"/>
      <c r="Z114" s="108"/>
      <c r="AA114" s="108"/>
      <c r="AB114" s="108"/>
      <c r="AC114" s="104"/>
    </row>
    <row r="115" spans="1:29" ht="73.2" customHeight="1" thickBot="1">
      <c r="A115" s="123">
        <v>105</v>
      </c>
      <c r="B115" s="124"/>
      <c r="C115" s="125"/>
      <c r="D115" s="292"/>
      <c r="E115" s="232" t="s">
        <v>342</v>
      </c>
      <c r="F115" s="247" t="s">
        <v>343</v>
      </c>
      <c r="G115" s="232" t="s">
        <v>344</v>
      </c>
      <c r="H115" s="272" t="s">
        <v>43</v>
      </c>
      <c r="I115" s="249"/>
      <c r="J115" s="240"/>
      <c r="K115" s="255" t="s">
        <v>38</v>
      </c>
      <c r="L115" s="256"/>
      <c r="M115" s="232"/>
      <c r="N115" s="232"/>
      <c r="O115" s="232"/>
      <c r="P115" s="114"/>
      <c r="Q115" s="114"/>
      <c r="R115" s="114"/>
      <c r="S115" s="114"/>
      <c r="T115" s="108"/>
      <c r="U115" s="108"/>
      <c r="V115" s="108"/>
      <c r="W115" s="108"/>
      <c r="X115" s="108"/>
      <c r="Y115" s="108"/>
      <c r="Z115" s="108"/>
      <c r="AA115" s="108"/>
      <c r="AB115" s="108"/>
      <c r="AC115" s="104"/>
    </row>
    <row r="116" spans="1:29" ht="73.2" customHeight="1" thickBot="1">
      <c r="A116" s="123">
        <v>106</v>
      </c>
      <c r="B116" s="124"/>
      <c r="C116" s="125"/>
      <c r="D116" s="292"/>
      <c r="E116" s="232" t="s">
        <v>345</v>
      </c>
      <c r="F116" s="252" t="s">
        <v>346</v>
      </c>
      <c r="G116" s="258" t="s">
        <v>347</v>
      </c>
      <c r="H116" s="232" t="s">
        <v>514</v>
      </c>
      <c r="I116" s="249"/>
      <c r="J116" s="240"/>
      <c r="K116" s="254" t="s">
        <v>38</v>
      </c>
      <c r="L116" s="254"/>
      <c r="M116" s="232"/>
      <c r="N116" s="232"/>
      <c r="O116" s="232"/>
      <c r="P116" s="114"/>
      <c r="Q116" s="114"/>
      <c r="R116" s="114"/>
      <c r="S116" s="114"/>
      <c r="T116" s="108"/>
      <c r="U116" s="108"/>
      <c r="V116" s="108"/>
      <c r="W116" s="108"/>
      <c r="X116" s="108"/>
      <c r="Y116" s="108"/>
      <c r="Z116" s="108"/>
      <c r="AA116" s="108"/>
      <c r="AB116" s="108"/>
      <c r="AC116" s="104"/>
    </row>
    <row r="117" spans="1:29" ht="73.2" customHeight="1" thickBot="1">
      <c r="A117" s="123">
        <v>107</v>
      </c>
      <c r="B117" s="124"/>
      <c r="C117" s="125"/>
      <c r="D117" s="292"/>
      <c r="E117" s="259" t="s">
        <v>348</v>
      </c>
      <c r="F117" s="247" t="s">
        <v>349</v>
      </c>
      <c r="G117" s="232" t="s">
        <v>513</v>
      </c>
      <c r="H117" s="257" t="s">
        <v>43</v>
      </c>
      <c r="I117" s="249"/>
      <c r="J117" s="240"/>
      <c r="K117" s="255" t="s">
        <v>38</v>
      </c>
      <c r="L117" s="256"/>
      <c r="M117" s="232"/>
      <c r="N117" s="232"/>
      <c r="O117" s="232"/>
      <c r="P117" s="114"/>
      <c r="Q117" s="114"/>
      <c r="R117" s="114"/>
      <c r="S117" s="114"/>
      <c r="T117" s="108"/>
      <c r="U117" s="108"/>
      <c r="V117" s="108"/>
      <c r="W117" s="108"/>
      <c r="X117" s="108"/>
      <c r="Y117" s="108"/>
      <c r="Z117" s="108"/>
      <c r="AA117" s="108"/>
      <c r="AB117" s="108"/>
      <c r="AC117" s="104"/>
    </row>
    <row r="118" spans="1:29" ht="73.2" customHeight="1" thickBot="1">
      <c r="A118" s="123">
        <v>108</v>
      </c>
      <c r="B118" s="124"/>
      <c r="C118" s="125"/>
      <c r="D118" s="292"/>
      <c r="E118" s="257" t="s">
        <v>350</v>
      </c>
      <c r="F118" s="260" t="s">
        <v>351</v>
      </c>
      <c r="G118" s="258" t="s">
        <v>512</v>
      </c>
      <c r="H118" s="232" t="s">
        <v>43</v>
      </c>
      <c r="I118" s="249"/>
      <c r="J118" s="240"/>
      <c r="K118" s="254" t="s">
        <v>38</v>
      </c>
      <c r="L118" s="254"/>
      <c r="M118" s="232"/>
      <c r="N118" s="232"/>
      <c r="O118" s="232"/>
      <c r="P118" s="114"/>
      <c r="Q118" s="114"/>
      <c r="R118" s="114"/>
      <c r="S118" s="114"/>
      <c r="T118" s="108"/>
      <c r="U118" s="108"/>
      <c r="V118" s="108"/>
      <c r="W118" s="108"/>
      <c r="X118" s="108"/>
      <c r="Y118" s="108"/>
      <c r="Z118" s="108"/>
      <c r="AA118" s="108"/>
      <c r="AB118" s="108"/>
      <c r="AC118" s="104"/>
    </row>
    <row r="119" spans="1:29" ht="73.2" customHeight="1" thickBot="1">
      <c r="A119" s="123">
        <v>109</v>
      </c>
      <c r="B119" s="124"/>
      <c r="C119" s="125"/>
      <c r="D119" s="292"/>
      <c r="E119" s="232" t="s">
        <v>352</v>
      </c>
      <c r="F119" s="252" t="s">
        <v>355</v>
      </c>
      <c r="G119" s="232" t="s">
        <v>358</v>
      </c>
      <c r="H119" s="257" t="s">
        <v>43</v>
      </c>
      <c r="I119" s="249"/>
      <c r="J119" s="240"/>
      <c r="K119" s="255" t="s">
        <v>38</v>
      </c>
      <c r="L119" s="256"/>
      <c r="M119" s="232"/>
      <c r="N119" s="232"/>
      <c r="O119" s="232"/>
      <c r="P119" s="114"/>
      <c r="Q119" s="114"/>
      <c r="R119" s="114"/>
      <c r="S119" s="114"/>
      <c r="T119" s="108"/>
      <c r="U119" s="108"/>
      <c r="V119" s="108"/>
      <c r="W119" s="108"/>
      <c r="X119" s="108"/>
      <c r="Y119" s="108"/>
      <c r="Z119" s="108"/>
      <c r="AA119" s="108"/>
      <c r="AB119" s="108"/>
      <c r="AC119" s="104"/>
    </row>
    <row r="120" spans="1:29" ht="73.2" customHeight="1" thickBot="1">
      <c r="A120" s="123">
        <v>110</v>
      </c>
      <c r="B120" s="124"/>
      <c r="C120" s="125"/>
      <c r="D120" s="292"/>
      <c r="E120" s="257" t="s">
        <v>353</v>
      </c>
      <c r="F120" s="247" t="s">
        <v>356</v>
      </c>
      <c r="G120" s="261" t="s">
        <v>358</v>
      </c>
      <c r="H120" s="232" t="s">
        <v>43</v>
      </c>
      <c r="I120" s="249"/>
      <c r="J120" s="240"/>
      <c r="K120" s="254" t="s">
        <v>38</v>
      </c>
      <c r="L120" s="254"/>
      <c r="M120" s="232"/>
      <c r="N120" s="232"/>
      <c r="O120" s="232"/>
      <c r="P120" s="114"/>
      <c r="Q120" s="114"/>
      <c r="R120" s="114"/>
      <c r="S120" s="114"/>
      <c r="T120" s="108"/>
      <c r="U120" s="108"/>
      <c r="V120" s="108"/>
      <c r="W120" s="108"/>
      <c r="X120" s="108"/>
      <c r="Y120" s="108"/>
      <c r="Z120" s="108"/>
      <c r="AA120" s="108"/>
      <c r="AB120" s="108"/>
      <c r="AC120" s="104"/>
    </row>
    <row r="121" spans="1:29" ht="73.2" customHeight="1" thickBot="1">
      <c r="A121" s="123">
        <v>111</v>
      </c>
      <c r="B121" s="124"/>
      <c r="C121" s="125"/>
      <c r="D121" s="292"/>
      <c r="E121" s="232" t="s">
        <v>354</v>
      </c>
      <c r="F121" s="262" t="s">
        <v>357</v>
      </c>
      <c r="G121" s="252" t="s">
        <v>341</v>
      </c>
      <c r="H121" s="259" t="s">
        <v>43</v>
      </c>
      <c r="I121" s="249"/>
      <c r="J121" s="240"/>
      <c r="K121" s="255" t="s">
        <v>38</v>
      </c>
      <c r="L121" s="256"/>
      <c r="M121" s="232"/>
      <c r="N121" s="232"/>
      <c r="O121" s="232"/>
      <c r="P121" s="114"/>
      <c r="Q121" s="114"/>
      <c r="R121" s="114"/>
      <c r="S121" s="114"/>
      <c r="T121" s="108"/>
      <c r="U121" s="108"/>
      <c r="V121" s="108"/>
      <c r="W121" s="108"/>
      <c r="X121" s="108"/>
      <c r="Y121" s="108"/>
      <c r="Z121" s="108"/>
      <c r="AA121" s="108"/>
      <c r="AB121" s="108"/>
      <c r="AC121" s="104"/>
    </row>
    <row r="122" spans="1:29" ht="73.2" customHeight="1" thickBot="1">
      <c r="A122" s="123">
        <v>112</v>
      </c>
      <c r="B122" s="124"/>
      <c r="C122" s="125"/>
      <c r="D122" s="293"/>
      <c r="E122" s="232" t="s">
        <v>509</v>
      </c>
      <c r="F122" s="252" t="s">
        <v>359</v>
      </c>
      <c r="G122" s="232" t="s">
        <v>360</v>
      </c>
      <c r="H122" s="253" t="s">
        <v>43</v>
      </c>
      <c r="I122" s="249"/>
      <c r="J122" s="240"/>
      <c r="K122" s="254" t="s">
        <v>38</v>
      </c>
      <c r="L122" s="254"/>
      <c r="M122" s="232"/>
      <c r="N122" s="232"/>
      <c r="O122" s="232"/>
      <c r="P122" s="114"/>
      <c r="Q122" s="114"/>
      <c r="R122" s="114"/>
      <c r="S122" s="114"/>
      <c r="T122" s="108"/>
      <c r="U122" s="108"/>
      <c r="V122" s="108"/>
      <c r="W122" s="108"/>
      <c r="X122" s="108"/>
      <c r="Y122" s="108"/>
      <c r="Z122" s="108"/>
      <c r="AA122" s="108"/>
      <c r="AB122" s="108"/>
      <c r="AC122" s="104"/>
    </row>
    <row r="123" spans="1:29" ht="45" customHeight="1" thickBot="1">
      <c r="A123" s="123">
        <v>113</v>
      </c>
      <c r="B123" s="274"/>
      <c r="C123" s="274"/>
      <c r="D123" s="273"/>
      <c r="E123" s="247" t="s">
        <v>510</v>
      </c>
      <c r="F123" s="232" t="s">
        <v>511</v>
      </c>
      <c r="G123" s="260" t="s">
        <v>360</v>
      </c>
      <c r="H123" s="232" t="s">
        <v>43</v>
      </c>
      <c r="I123" s="249"/>
      <c r="J123" s="240"/>
      <c r="K123" s="255" t="s">
        <v>38</v>
      </c>
      <c r="L123" s="256"/>
      <c r="M123" s="232"/>
      <c r="N123" s="232"/>
      <c r="O123" s="232"/>
      <c r="P123" s="114"/>
      <c r="Q123" s="114"/>
      <c r="R123" s="114"/>
      <c r="S123" s="114"/>
      <c r="T123" s="108"/>
      <c r="U123" s="108"/>
      <c r="V123" s="108"/>
      <c r="W123" s="108"/>
      <c r="X123" s="108"/>
      <c r="Y123" s="108"/>
      <c r="Z123" s="108"/>
      <c r="AA123" s="108"/>
      <c r="AB123" s="108"/>
      <c r="AC123" s="104"/>
    </row>
    <row r="124" spans="1:29" ht="30" customHeight="1" thickBot="1">
      <c r="A124" s="18"/>
      <c r="B124" s="21"/>
      <c r="C124" s="21"/>
      <c r="D124" s="118"/>
      <c r="E124" s="17"/>
      <c r="F124" s="17"/>
      <c r="G124" s="17"/>
      <c r="H124" s="18"/>
      <c r="I124" s="17"/>
      <c r="J124" s="17"/>
      <c r="K124" s="17"/>
      <c r="L124" s="104"/>
      <c r="M124" s="104"/>
      <c r="N124" s="104"/>
      <c r="O124" s="104"/>
      <c r="P124" s="104"/>
      <c r="Q124" s="104"/>
      <c r="R124" s="104"/>
      <c r="S124" s="104"/>
      <c r="T124" s="104"/>
      <c r="U124" s="104"/>
      <c r="V124" s="104"/>
      <c r="W124" s="104"/>
      <c r="X124" s="104"/>
      <c r="Y124" s="104"/>
    </row>
    <row r="125" spans="1:29" ht="43.2" customHeight="1" thickBot="1">
      <c r="A125" s="17"/>
      <c r="B125" s="21"/>
      <c r="C125" s="21"/>
      <c r="D125" s="18"/>
      <c r="E125" s="17"/>
      <c r="F125" s="17"/>
      <c r="G125" s="17"/>
      <c r="H125" s="18"/>
      <c r="I125" s="17"/>
      <c r="J125" s="17"/>
      <c r="K125" s="17"/>
      <c r="L125" s="104"/>
      <c r="M125" s="104"/>
      <c r="N125" s="104"/>
      <c r="O125" s="104"/>
      <c r="P125" s="104"/>
      <c r="Q125" s="104"/>
      <c r="R125" s="104"/>
      <c r="S125" s="104"/>
      <c r="T125" s="104"/>
      <c r="U125" s="104"/>
      <c r="V125" s="104"/>
      <c r="W125" s="104"/>
      <c r="X125" s="104"/>
      <c r="Y125" s="104"/>
    </row>
    <row r="126" spans="1:29" ht="35.4" customHeight="1" thickBot="1">
      <c r="A126" s="17"/>
      <c r="B126" s="20"/>
      <c r="C126" s="17"/>
      <c r="D126" s="18"/>
      <c r="E126" s="17"/>
      <c r="F126" s="17"/>
      <c r="G126" s="17"/>
      <c r="H126" s="18"/>
      <c r="I126" s="17"/>
      <c r="J126" s="17"/>
      <c r="K126" s="17"/>
      <c r="L126" s="104"/>
      <c r="M126" s="104"/>
      <c r="N126" s="104"/>
      <c r="O126" s="104"/>
      <c r="P126" s="104"/>
      <c r="Q126" s="104"/>
      <c r="R126" s="104"/>
      <c r="S126" s="104"/>
      <c r="T126" s="104"/>
      <c r="U126" s="104"/>
      <c r="V126" s="104"/>
      <c r="W126" s="104"/>
      <c r="X126" s="104"/>
      <c r="Y126" s="104"/>
    </row>
    <row r="127" spans="1:29" ht="35.4" customHeight="1" thickBot="1">
      <c r="A127" s="17"/>
      <c r="B127" s="20"/>
      <c r="C127" s="17"/>
      <c r="D127" s="18"/>
      <c r="E127" s="17"/>
      <c r="F127" s="17"/>
      <c r="G127" s="17"/>
      <c r="H127" s="18"/>
      <c r="I127" s="17"/>
      <c r="J127" s="17"/>
      <c r="K127" s="122"/>
      <c r="L127" s="104"/>
      <c r="M127" s="104"/>
      <c r="N127" s="104"/>
      <c r="O127" s="104"/>
      <c r="P127" s="104"/>
      <c r="Q127" s="104"/>
      <c r="R127" s="104"/>
      <c r="S127" s="104"/>
      <c r="T127" s="104"/>
      <c r="U127" s="104"/>
      <c r="V127" s="104"/>
      <c r="W127" s="104"/>
      <c r="X127" s="104"/>
      <c r="Y127" s="104"/>
    </row>
    <row r="128" spans="1:29" ht="35.4" customHeight="1" thickBot="1">
      <c r="A128" s="17"/>
      <c r="B128" s="14"/>
      <c r="C128" s="17"/>
      <c r="D128" s="18"/>
      <c r="E128" s="17"/>
      <c r="F128" s="17"/>
      <c r="G128" s="17"/>
      <c r="H128" s="18"/>
      <c r="I128" s="17"/>
      <c r="J128" s="17"/>
      <c r="K128" s="17"/>
      <c r="L128" s="104"/>
      <c r="M128" s="104"/>
      <c r="N128" s="104"/>
      <c r="O128" s="104"/>
      <c r="P128" s="104"/>
      <c r="Q128" s="104"/>
      <c r="R128" s="104"/>
      <c r="S128" s="104"/>
      <c r="T128" s="104"/>
      <c r="U128" s="104"/>
      <c r="V128" s="104"/>
      <c r="W128" s="104"/>
      <c r="X128" s="104"/>
      <c r="Y128" s="104"/>
    </row>
    <row r="129" spans="1:25" ht="35.4" customHeight="1" thickBot="1">
      <c r="A129" s="15"/>
      <c r="B129" s="18"/>
      <c r="C129" s="17"/>
      <c r="D129" s="18"/>
      <c r="E129" s="17"/>
      <c r="F129" s="17"/>
      <c r="G129" s="17"/>
      <c r="H129" s="18"/>
      <c r="I129" s="17"/>
      <c r="J129" s="17"/>
      <c r="K129" s="17"/>
      <c r="L129" s="104"/>
      <c r="M129" s="104"/>
      <c r="N129" s="104"/>
      <c r="O129" s="104"/>
      <c r="P129" s="104"/>
      <c r="Q129" s="104"/>
      <c r="R129" s="104"/>
      <c r="S129" s="104"/>
      <c r="T129" s="104"/>
      <c r="U129" s="104"/>
      <c r="V129" s="104"/>
      <c r="W129" s="104"/>
      <c r="X129" s="104"/>
      <c r="Y129" s="104"/>
    </row>
    <row r="130" spans="1:25" ht="35.4" customHeight="1" thickBot="1">
      <c r="A130" s="17"/>
      <c r="B130" s="18"/>
      <c r="C130" s="17"/>
      <c r="D130" s="18"/>
      <c r="E130" s="17"/>
      <c r="F130" s="17"/>
      <c r="G130" s="17"/>
      <c r="H130" s="18"/>
      <c r="I130" s="17"/>
      <c r="J130" s="17"/>
      <c r="K130" s="17"/>
      <c r="L130" s="104"/>
      <c r="M130" s="104"/>
      <c r="N130" s="104"/>
      <c r="O130" s="104"/>
      <c r="P130" s="104"/>
      <c r="Q130" s="104"/>
      <c r="R130" s="104"/>
      <c r="S130" s="104"/>
      <c r="T130" s="104"/>
      <c r="U130" s="104"/>
      <c r="V130" s="104"/>
      <c r="W130" s="104"/>
      <c r="X130" s="104"/>
      <c r="Y130" s="104"/>
    </row>
    <row r="131" spans="1:25" ht="35.4" customHeight="1" thickBot="1">
      <c r="A131" s="17"/>
      <c r="B131" s="18"/>
      <c r="C131" s="17"/>
      <c r="D131" s="14"/>
      <c r="E131" s="16"/>
      <c r="F131" s="16"/>
      <c r="G131" s="16"/>
      <c r="H131" s="13"/>
      <c r="I131" s="17"/>
      <c r="J131" s="17"/>
      <c r="K131" s="17"/>
      <c r="L131" s="104"/>
      <c r="M131" s="104"/>
      <c r="N131" s="104"/>
      <c r="O131" s="104"/>
      <c r="P131" s="104"/>
      <c r="Q131" s="104"/>
      <c r="R131" s="104"/>
      <c r="S131" s="104"/>
      <c r="T131" s="104"/>
      <c r="U131" s="104"/>
      <c r="V131" s="104"/>
      <c r="W131" s="104"/>
      <c r="X131" s="104"/>
      <c r="Y131" s="104"/>
    </row>
    <row r="132" spans="1:25" ht="35.4" customHeight="1" thickBot="1">
      <c r="A132" s="17"/>
      <c r="B132" s="18"/>
      <c r="C132" s="17"/>
      <c r="D132" s="18"/>
      <c r="E132" s="17"/>
      <c r="F132" s="17"/>
      <c r="G132" s="17"/>
      <c r="H132" s="18"/>
      <c r="I132" s="17"/>
      <c r="J132" s="17"/>
      <c r="K132" s="17"/>
      <c r="L132" s="104"/>
      <c r="M132" s="104"/>
      <c r="N132" s="104"/>
      <c r="O132" s="104"/>
      <c r="P132" s="104"/>
      <c r="Q132" s="104"/>
      <c r="R132" s="104"/>
      <c r="S132" s="104"/>
      <c r="T132" s="104"/>
      <c r="U132" s="104"/>
      <c r="V132" s="104"/>
      <c r="W132" s="104"/>
      <c r="X132" s="104"/>
      <c r="Y132" s="104"/>
    </row>
    <row r="133" spans="1:25" ht="35.4" customHeight="1" thickBot="1">
      <c r="A133" s="17"/>
      <c r="B133" s="17"/>
      <c r="C133" s="17"/>
      <c r="D133" s="17"/>
      <c r="E133" s="18"/>
      <c r="F133" s="17"/>
      <c r="G133" s="17"/>
      <c r="H133" s="17"/>
      <c r="I133" s="104"/>
      <c r="J133" s="104"/>
      <c r="K133" s="104"/>
      <c r="L133" s="104"/>
      <c r="M133" s="104"/>
      <c r="N133" s="104"/>
      <c r="O133" s="104"/>
      <c r="P133" s="104"/>
      <c r="Q133" s="104"/>
      <c r="R133" s="104"/>
      <c r="S133" s="104"/>
      <c r="T133" s="104"/>
      <c r="U133" s="104"/>
      <c r="V133" s="104"/>
    </row>
    <row r="134" spans="1:25" ht="35.4" customHeight="1" thickBot="1">
      <c r="A134" s="17"/>
      <c r="B134" s="17"/>
      <c r="C134" s="17"/>
      <c r="D134" s="19"/>
      <c r="E134" s="18"/>
      <c r="F134" s="17"/>
      <c r="G134" s="17"/>
      <c r="H134" s="17"/>
      <c r="I134" s="104"/>
      <c r="J134" s="104"/>
      <c r="K134" s="104"/>
      <c r="L134" s="104"/>
      <c r="M134" s="104"/>
      <c r="N134" s="104"/>
      <c r="O134" s="104"/>
      <c r="P134" s="104"/>
      <c r="Q134" s="104"/>
      <c r="R134" s="104"/>
      <c r="S134" s="104"/>
      <c r="T134" s="104"/>
      <c r="U134" s="104"/>
      <c r="V134" s="104"/>
    </row>
    <row r="135" spans="1:25" ht="35.4" customHeight="1" thickBot="1">
      <c r="A135" s="17"/>
      <c r="B135" s="17"/>
      <c r="C135" s="17"/>
      <c r="D135" s="17"/>
      <c r="E135" s="18"/>
      <c r="F135" s="17"/>
      <c r="G135" s="17"/>
      <c r="H135" s="17"/>
      <c r="I135" s="104"/>
      <c r="J135" s="104"/>
      <c r="K135" s="104"/>
      <c r="L135" s="104"/>
      <c r="M135" s="104"/>
      <c r="N135" s="104"/>
      <c r="O135" s="104"/>
      <c r="P135" s="104"/>
      <c r="Q135" s="104"/>
      <c r="R135" s="104"/>
      <c r="S135" s="104"/>
      <c r="T135" s="104"/>
      <c r="U135" s="104"/>
      <c r="V135" s="104"/>
    </row>
    <row r="136" spans="1:25" ht="35.4" customHeight="1" thickBot="1">
      <c r="A136" s="22"/>
      <c r="B136" s="21"/>
      <c r="C136" s="16"/>
      <c r="D136" s="21"/>
      <c r="E136" s="13"/>
      <c r="F136" s="17"/>
      <c r="G136" s="17"/>
      <c r="H136" s="17"/>
      <c r="I136" s="104"/>
      <c r="J136" s="104"/>
      <c r="K136" s="104"/>
      <c r="L136" s="104"/>
      <c r="M136" s="104"/>
      <c r="N136" s="104"/>
      <c r="O136" s="104"/>
      <c r="P136" s="104"/>
      <c r="Q136" s="104"/>
      <c r="R136" s="104"/>
      <c r="S136" s="104"/>
      <c r="T136" s="104"/>
      <c r="U136" s="104"/>
      <c r="V136" s="104"/>
    </row>
    <row r="137" spans="1:25" ht="35.4" customHeight="1" thickBot="1">
      <c r="A137" s="17"/>
      <c r="B137" s="17"/>
      <c r="C137" s="17"/>
      <c r="D137" s="19"/>
      <c r="E137" s="18"/>
      <c r="F137" s="17"/>
      <c r="G137" s="18"/>
      <c r="H137" s="18"/>
      <c r="I137" s="17"/>
      <c r="J137" s="17"/>
      <c r="K137" s="17"/>
      <c r="L137" s="104"/>
      <c r="M137" s="104"/>
      <c r="N137" s="104"/>
      <c r="O137" s="104"/>
      <c r="P137" s="104"/>
      <c r="Q137" s="104"/>
      <c r="R137" s="104"/>
      <c r="S137" s="104"/>
      <c r="T137" s="104"/>
      <c r="U137" s="104"/>
      <c r="V137" s="104"/>
      <c r="W137" s="104"/>
      <c r="X137" s="104"/>
      <c r="Y137" s="104"/>
    </row>
    <row r="138" spans="1:25" ht="35.4" customHeight="1" thickBot="1">
      <c r="A138" s="17"/>
      <c r="B138" s="17"/>
      <c r="C138" s="17"/>
      <c r="D138" s="19"/>
      <c r="E138" s="17"/>
      <c r="F138" s="18"/>
      <c r="G138" s="17"/>
      <c r="H138" s="18"/>
      <c r="I138" s="17"/>
      <c r="J138" s="17"/>
      <c r="K138" s="17"/>
      <c r="L138" s="104"/>
      <c r="M138" s="104"/>
      <c r="N138" s="104"/>
      <c r="O138" s="104"/>
      <c r="P138" s="104"/>
      <c r="Q138" s="104"/>
      <c r="R138" s="104"/>
      <c r="S138" s="104"/>
      <c r="T138" s="104"/>
      <c r="U138" s="104"/>
      <c r="V138" s="104"/>
      <c r="W138" s="104"/>
      <c r="X138" s="104"/>
      <c r="Y138" s="104"/>
    </row>
    <row r="139" spans="1:25" ht="35.4" customHeight="1" thickBot="1">
      <c r="A139" s="17"/>
      <c r="B139" s="17"/>
      <c r="C139" s="17"/>
      <c r="D139" s="19"/>
      <c r="E139" s="17"/>
      <c r="F139" s="18"/>
      <c r="G139" s="17"/>
      <c r="H139" s="18"/>
      <c r="I139" s="17"/>
      <c r="J139" s="17"/>
      <c r="K139" s="17"/>
      <c r="L139" s="104"/>
      <c r="M139" s="104"/>
      <c r="N139" s="104"/>
      <c r="O139" s="104"/>
      <c r="P139" s="104"/>
      <c r="Q139" s="104"/>
      <c r="R139" s="104"/>
      <c r="S139" s="104"/>
      <c r="T139" s="104"/>
      <c r="U139" s="104"/>
      <c r="V139" s="104"/>
      <c r="W139" s="104"/>
      <c r="X139" s="104"/>
      <c r="Y139" s="104"/>
    </row>
    <row r="140" spans="1:25" ht="78" customHeight="1" thickBot="1">
      <c r="A140" s="17"/>
      <c r="B140" s="17"/>
      <c r="C140" s="17"/>
      <c r="D140" s="19"/>
      <c r="E140" s="17"/>
      <c r="F140" s="18"/>
      <c r="G140" s="17"/>
      <c r="H140" s="18"/>
      <c r="I140" s="17"/>
      <c r="J140" s="17"/>
      <c r="K140" s="17"/>
      <c r="L140" s="104"/>
      <c r="M140" s="104"/>
      <c r="N140" s="104"/>
      <c r="O140" s="104"/>
      <c r="P140" s="104"/>
      <c r="Q140" s="104"/>
      <c r="R140" s="104"/>
      <c r="S140" s="104"/>
      <c r="T140" s="104"/>
      <c r="U140" s="104"/>
      <c r="V140" s="104"/>
      <c r="W140" s="104"/>
      <c r="X140" s="104"/>
      <c r="Y140" s="104"/>
    </row>
    <row r="141" spans="1:25" ht="63.6" customHeight="1" thickBot="1">
      <c r="A141" s="17"/>
      <c r="B141" s="17"/>
      <c r="C141" s="17"/>
      <c r="D141" s="19"/>
      <c r="E141" s="17"/>
      <c r="F141" s="18"/>
      <c r="G141" s="17"/>
      <c r="H141" s="18"/>
      <c r="I141" s="17"/>
      <c r="J141" s="17"/>
      <c r="K141" s="17"/>
      <c r="L141" s="104"/>
      <c r="M141" s="104"/>
      <c r="N141" s="104"/>
      <c r="O141" s="104"/>
      <c r="P141" s="104"/>
      <c r="Q141" s="104"/>
      <c r="R141" s="104"/>
      <c r="S141" s="104"/>
      <c r="T141" s="104"/>
      <c r="U141" s="104"/>
      <c r="V141" s="104"/>
      <c r="W141" s="104"/>
      <c r="X141" s="104"/>
      <c r="Y141" s="104"/>
    </row>
    <row r="142" spans="1:25" ht="62.4" customHeight="1" thickBot="1">
      <c r="A142" s="17"/>
      <c r="B142" s="17"/>
      <c r="C142" s="17"/>
      <c r="D142" s="19"/>
      <c r="E142" s="17"/>
      <c r="F142" s="18"/>
      <c r="G142" s="17"/>
      <c r="H142" s="18"/>
      <c r="I142" s="17"/>
      <c r="J142" s="17"/>
      <c r="K142" s="17"/>
      <c r="L142" s="104"/>
      <c r="M142" s="104"/>
      <c r="N142" s="104"/>
      <c r="O142" s="104"/>
      <c r="P142" s="104"/>
      <c r="Q142" s="104"/>
      <c r="R142" s="104"/>
      <c r="S142" s="104"/>
      <c r="T142" s="104"/>
      <c r="U142" s="104"/>
      <c r="V142" s="104"/>
      <c r="W142" s="104"/>
      <c r="X142" s="104"/>
      <c r="Y142" s="104"/>
    </row>
    <row r="143" spans="1:25" ht="45" customHeight="1" thickBot="1">
      <c r="A143" s="17"/>
      <c r="B143" s="17"/>
      <c r="C143" s="17"/>
      <c r="D143" s="19"/>
      <c r="E143" s="17"/>
      <c r="F143" s="18"/>
      <c r="G143" s="17"/>
      <c r="H143" s="18"/>
      <c r="I143" s="17"/>
      <c r="J143" s="17"/>
      <c r="K143" s="17"/>
      <c r="L143" s="104"/>
      <c r="M143" s="104"/>
      <c r="N143" s="104"/>
      <c r="O143" s="104"/>
      <c r="P143" s="104"/>
      <c r="Q143" s="104"/>
      <c r="R143" s="104"/>
      <c r="S143" s="104"/>
      <c r="T143" s="104"/>
      <c r="U143" s="104"/>
      <c r="V143" s="104"/>
      <c r="W143" s="104"/>
      <c r="X143" s="104"/>
      <c r="Y143" s="104"/>
    </row>
    <row r="144" spans="1:25" ht="74.400000000000006" customHeight="1" thickBot="1">
      <c r="A144" s="17"/>
      <c r="B144" s="17"/>
      <c r="C144" s="17"/>
      <c r="D144" s="19"/>
      <c r="E144" s="17"/>
      <c r="F144" s="18"/>
      <c r="G144" s="17"/>
      <c r="H144" s="18"/>
      <c r="I144" s="17"/>
      <c r="J144" s="17"/>
      <c r="K144" s="17"/>
      <c r="L144" s="104"/>
      <c r="M144" s="104"/>
      <c r="N144" s="104"/>
      <c r="O144" s="104"/>
      <c r="P144" s="104"/>
      <c r="Q144" s="104"/>
      <c r="R144" s="104"/>
      <c r="S144" s="104"/>
      <c r="T144" s="104"/>
      <c r="U144" s="104"/>
      <c r="V144" s="104"/>
      <c r="W144" s="104"/>
      <c r="X144" s="104"/>
      <c r="Y144" s="104"/>
    </row>
    <row r="145" spans="1:26" ht="79.2" customHeight="1" thickBot="1">
      <c r="A145" s="17"/>
      <c r="B145" s="17"/>
      <c r="C145" s="17"/>
      <c r="D145" s="19"/>
      <c r="E145" s="17"/>
      <c r="F145" s="18"/>
      <c r="G145" s="17"/>
      <c r="H145" s="18"/>
      <c r="I145" s="17"/>
      <c r="J145" s="17"/>
      <c r="K145" s="17"/>
      <c r="L145" s="104"/>
      <c r="M145" s="104"/>
      <c r="N145" s="104"/>
      <c r="O145" s="104"/>
      <c r="P145" s="104"/>
      <c r="Q145" s="104"/>
      <c r="R145" s="104"/>
      <c r="S145" s="104"/>
      <c r="T145" s="104"/>
      <c r="U145" s="104"/>
      <c r="V145" s="104"/>
      <c r="W145" s="104"/>
      <c r="X145" s="104"/>
      <c r="Y145" s="104"/>
    </row>
    <row r="146" spans="1:26" ht="52.2" customHeight="1" thickBot="1">
      <c r="A146" s="17"/>
      <c r="B146" s="17"/>
      <c r="C146" s="17"/>
      <c r="D146" s="17"/>
      <c r="E146" s="17"/>
      <c r="F146" s="17"/>
      <c r="G146" s="17"/>
      <c r="H146" s="17"/>
      <c r="I146" s="17"/>
      <c r="J146" s="17"/>
      <c r="K146" s="17"/>
      <c r="L146" s="104"/>
      <c r="M146" s="104"/>
      <c r="N146" s="104"/>
      <c r="O146" s="104"/>
      <c r="P146" s="104"/>
      <c r="Q146" s="104"/>
      <c r="R146" s="104"/>
      <c r="S146" s="104"/>
      <c r="T146" s="104"/>
      <c r="U146" s="104"/>
      <c r="V146" s="104"/>
      <c r="W146" s="104"/>
      <c r="X146" s="104"/>
      <c r="Y146" s="104"/>
    </row>
    <row r="147" spans="1:26" ht="42.6" customHeight="1" thickBot="1">
      <c r="A147" s="17"/>
      <c r="B147" s="17"/>
      <c r="C147" s="17"/>
      <c r="D147" s="17"/>
      <c r="E147" s="17"/>
      <c r="F147" s="17"/>
      <c r="G147" s="17"/>
      <c r="H147" s="17"/>
      <c r="I147" s="17"/>
      <c r="J147" s="17"/>
      <c r="K147" s="17"/>
      <c r="L147" s="104"/>
      <c r="M147" s="104"/>
      <c r="N147" s="104"/>
      <c r="O147" s="104"/>
      <c r="P147" s="104"/>
      <c r="Q147" s="104"/>
      <c r="R147" s="104"/>
      <c r="S147" s="104"/>
      <c r="T147" s="104"/>
      <c r="U147" s="104"/>
      <c r="V147" s="104"/>
      <c r="W147" s="104"/>
      <c r="X147" s="104"/>
      <c r="Y147" s="104"/>
    </row>
    <row r="148" spans="1:26" ht="49.2" customHeight="1" thickBot="1">
      <c r="A148" s="17"/>
      <c r="B148" s="17"/>
      <c r="C148" s="17"/>
      <c r="D148" s="17"/>
      <c r="E148" s="17"/>
      <c r="F148" s="17"/>
      <c r="G148" s="17"/>
      <c r="H148" s="17"/>
      <c r="I148" s="17"/>
      <c r="J148" s="17"/>
      <c r="K148" s="17"/>
      <c r="L148" s="104"/>
      <c r="M148" s="104"/>
      <c r="N148" s="104"/>
      <c r="O148" s="104"/>
      <c r="P148" s="104"/>
      <c r="Q148" s="104"/>
      <c r="R148" s="104"/>
      <c r="S148" s="104"/>
      <c r="T148" s="104"/>
      <c r="U148" s="104"/>
      <c r="V148" s="104"/>
      <c r="W148" s="104"/>
      <c r="X148" s="104"/>
      <c r="Y148" s="104"/>
    </row>
    <row r="149" spans="1:26" ht="178.8"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row>
    <row r="150" spans="1:26" ht="178.8"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row>
    <row r="151" spans="1:26" ht="178.8"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spans="1:26" ht="178.8"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spans="1:26" ht="178.8"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spans="1:26" ht="178.8" customHeight="1"/>
    <row r="155" spans="1:26" ht="178.8" customHeight="1"/>
    <row r="156" spans="1:26" ht="178.8" customHeight="1"/>
    <row r="157" spans="1:26" ht="178.8" customHeight="1"/>
    <row r="158" spans="1:26" ht="178.8" customHeight="1"/>
    <row r="159" spans="1:26" ht="178.8" customHeight="1"/>
    <row r="160" spans="1:26" ht="178.8" customHeight="1"/>
    <row r="161" ht="178.8" customHeight="1"/>
    <row r="162" ht="178.8" customHeight="1"/>
    <row r="163" ht="178.8" customHeight="1"/>
    <row r="164" ht="178.8" customHeight="1"/>
    <row r="165" ht="178.8" customHeight="1"/>
    <row r="166" ht="178.8" customHeight="1"/>
    <row r="167" ht="178.8" customHeight="1"/>
  </sheetData>
  <mergeCells count="10">
    <mergeCell ref="D97:D122"/>
    <mergeCell ref="D41:D49"/>
    <mergeCell ref="D54:D67"/>
    <mergeCell ref="K1:L1"/>
    <mergeCell ref="D34:D40"/>
    <mergeCell ref="D12:D13"/>
    <mergeCell ref="D19:D33"/>
    <mergeCell ref="D14:D18"/>
    <mergeCell ref="A10:O10"/>
    <mergeCell ref="D68:D96"/>
  </mergeCells>
  <phoneticPr fontId="18" type="noConversion"/>
  <conditionalFormatting sqref="A87:A93">
    <cfRule type="notContainsBlanks" dxfId="8" priority="9">
      <formula>LEN(TRIM(A87))&gt;0</formula>
    </cfRule>
  </conditionalFormatting>
  <conditionalFormatting sqref="K9 K11:K99">
    <cfRule type="cellIs" dxfId="7" priority="5" operator="equal">
      <formula>"Passed"</formula>
    </cfRule>
    <cfRule type="cellIs" dxfId="6" priority="6" operator="equal">
      <formula>"Failed"</formula>
    </cfRule>
    <cfRule type="cellIs" dxfId="5" priority="7" operator="equal">
      <formula>"Not Executed"</formula>
    </cfRule>
    <cfRule type="cellIs" dxfId="4" priority="8" operator="equal">
      <formula>"Out of Scope"</formula>
    </cfRule>
  </conditionalFormatting>
  <conditionalFormatting sqref="K101:K123">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K101:K123 K9 K11:K99" xr:uid="{71960FDD-71F2-447C-A831-9C283AC3D25D}">
      <formula1>"Passed,Failed,Not Executed,Out of Scope"</formula1>
    </dataValidation>
  </dataValidations>
  <hyperlinks>
    <hyperlink ref="I48" r:id="rId1" display="comma error" xr:uid="{F84E4DA8-7E72-4ABE-88A3-32668926D805}"/>
    <hyperlink ref="I35" r:id="rId2" xr:uid="{120B31C1-43BA-4FDE-BF57-D5A35F910963}"/>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29DB-3EED-4D79-BF3E-1885F736F4C4}">
  <dimension ref="A1:V52"/>
  <sheetViews>
    <sheetView zoomScale="77" workbookViewId="0">
      <selection activeCell="C14" sqref="C14"/>
    </sheetView>
  </sheetViews>
  <sheetFormatPr defaultRowHeight="14.4"/>
  <cols>
    <col min="1" max="1" width="20" customWidth="1"/>
    <col min="2" max="2" width="39.109375" customWidth="1"/>
    <col min="3" max="3" width="71.5546875" customWidth="1"/>
    <col min="4" max="4" width="17.21875" customWidth="1"/>
    <col min="5" max="5" width="18" customWidth="1"/>
    <col min="6" max="6" width="17.88671875" customWidth="1"/>
    <col min="9" max="9" width="14.5546875" customWidth="1"/>
    <col min="11" max="11" width="22.44140625" customWidth="1"/>
    <col min="12" max="12" width="28.77734375" customWidth="1"/>
    <col min="13" max="13" width="53" customWidth="1"/>
  </cols>
  <sheetData>
    <row r="1" spans="1:15" ht="31.8" thickBot="1">
      <c r="A1" s="316" t="s">
        <v>155</v>
      </c>
      <c r="B1" s="314"/>
      <c r="C1" s="314"/>
      <c r="D1" s="314"/>
      <c r="E1" s="314"/>
      <c r="F1" s="315"/>
    </row>
    <row r="2" spans="1:15" ht="15" thickBot="1">
      <c r="A2" s="278" t="s">
        <v>156</v>
      </c>
      <c r="B2" s="317" t="s">
        <v>547</v>
      </c>
      <c r="C2" s="318"/>
      <c r="D2" s="318"/>
      <c r="E2" s="318"/>
      <c r="F2" s="319"/>
    </row>
    <row r="3" spans="1:15" ht="15" thickBot="1">
      <c r="A3" s="279" t="s">
        <v>157</v>
      </c>
      <c r="B3" s="317" t="s">
        <v>548</v>
      </c>
      <c r="C3" s="318"/>
      <c r="D3" s="318"/>
      <c r="E3" s="318"/>
      <c r="F3" s="319"/>
    </row>
    <row r="4" spans="1:15" ht="15" thickBot="1">
      <c r="A4" s="279" t="s">
        <v>158</v>
      </c>
      <c r="B4" s="42" t="s">
        <v>549</v>
      </c>
      <c r="C4" s="43"/>
      <c r="D4" s="43"/>
      <c r="E4" s="43"/>
      <c r="F4" s="44"/>
    </row>
    <row r="5" spans="1:15" ht="15" thickBot="1">
      <c r="A5" s="278" t="s">
        <v>159</v>
      </c>
      <c r="B5" s="317">
        <v>1</v>
      </c>
      <c r="C5" s="318"/>
      <c r="D5" s="318"/>
      <c r="E5" s="318"/>
      <c r="F5" s="319"/>
    </row>
    <row r="6" spans="1:15" ht="15" thickBot="1">
      <c r="A6" s="278" t="s">
        <v>160</v>
      </c>
      <c r="B6" s="317" t="s">
        <v>545</v>
      </c>
      <c r="C6" s="318"/>
      <c r="D6" s="318"/>
      <c r="E6" s="318"/>
      <c r="F6" s="319"/>
    </row>
    <row r="7" spans="1:15" ht="16.2" thickBot="1">
      <c r="A7" s="278" t="s">
        <v>161</v>
      </c>
      <c r="B7" s="317" t="s">
        <v>545</v>
      </c>
      <c r="C7" s="318"/>
      <c r="D7" s="318"/>
      <c r="E7" s="318"/>
      <c r="F7" s="319"/>
      <c r="I7" s="62" t="s">
        <v>195</v>
      </c>
      <c r="J7" s="63"/>
    </row>
    <row r="8" spans="1:15" ht="15" thickBot="1">
      <c r="A8" s="278" t="s">
        <v>162</v>
      </c>
      <c r="B8" s="317" t="s">
        <v>163</v>
      </c>
      <c r="C8" s="318"/>
      <c r="D8" s="318"/>
      <c r="E8" s="318"/>
      <c r="F8" s="319"/>
    </row>
    <row r="9" spans="1:15" ht="15" thickBot="1">
      <c r="A9" s="320" t="s">
        <v>164</v>
      </c>
      <c r="B9" s="321"/>
      <c r="C9" s="321"/>
      <c r="D9" s="321"/>
      <c r="E9" s="321"/>
      <c r="F9" s="322"/>
      <c r="H9" s="64" t="s">
        <v>196</v>
      </c>
      <c r="I9" s="64" t="s">
        <v>197</v>
      </c>
    </row>
    <row r="10" spans="1:15" ht="16.2" thickBot="1">
      <c r="A10" s="323"/>
      <c r="B10" s="318"/>
      <c r="C10" s="318"/>
      <c r="D10" s="318"/>
      <c r="E10" s="318"/>
      <c r="F10" s="319"/>
      <c r="H10" s="64"/>
      <c r="I10" s="64"/>
      <c r="K10" s="65"/>
    </row>
    <row r="11" spans="1:15" ht="16.2" thickBot="1">
      <c r="A11" s="45" t="s">
        <v>23</v>
      </c>
      <c r="B11" s="46" t="s">
        <v>165</v>
      </c>
      <c r="C11" s="46" t="s">
        <v>166</v>
      </c>
      <c r="D11" s="46" t="s">
        <v>167</v>
      </c>
      <c r="E11" s="46" t="s">
        <v>168</v>
      </c>
      <c r="F11" s="47" t="s">
        <v>169</v>
      </c>
      <c r="H11" s="66">
        <f>B13</f>
        <v>102</v>
      </c>
      <c r="I11" s="66" t="s">
        <v>165</v>
      </c>
      <c r="J11" s="67"/>
      <c r="K11" s="68"/>
    </row>
    <row r="12" spans="1:15" ht="39" customHeight="1" thickBot="1">
      <c r="A12" s="48"/>
      <c r="B12" s="49">
        <v>102</v>
      </c>
      <c r="C12" s="50">
        <v>11</v>
      </c>
      <c r="D12" s="51">
        <v>0</v>
      </c>
      <c r="E12" s="52">
        <v>0</v>
      </c>
      <c r="F12" s="53">
        <v>113</v>
      </c>
      <c r="H12" s="66">
        <f>C13</f>
        <v>11</v>
      </c>
      <c r="I12" s="66" t="s">
        <v>166</v>
      </c>
      <c r="J12" s="67"/>
      <c r="K12" s="69"/>
    </row>
    <row r="13" spans="1:15" ht="35.4" customHeight="1" thickBot="1">
      <c r="A13" s="54" t="s">
        <v>170</v>
      </c>
      <c r="B13" s="55">
        <v>102</v>
      </c>
      <c r="C13" s="56">
        <v>11</v>
      </c>
      <c r="D13" s="55">
        <f t="shared" ref="D13:E13" si="0">SUM(D12)</f>
        <v>0</v>
      </c>
      <c r="E13" s="55">
        <f t="shared" si="0"/>
        <v>0</v>
      </c>
      <c r="F13" s="57">
        <v>113</v>
      </c>
      <c r="H13" s="66">
        <f>D13</f>
        <v>0</v>
      </c>
      <c r="I13" s="76" t="s">
        <v>167</v>
      </c>
      <c r="K13" s="70" t="s">
        <v>198</v>
      </c>
      <c r="L13" s="71" t="s">
        <v>199</v>
      </c>
      <c r="M13" s="71" t="s">
        <v>200</v>
      </c>
      <c r="N13" s="68"/>
      <c r="O13" s="71"/>
    </row>
    <row r="14" spans="1:15" ht="15" thickBot="1">
      <c r="A14" s="58"/>
      <c r="B14" s="58"/>
      <c r="C14" s="58"/>
      <c r="D14" s="58"/>
      <c r="E14" s="58"/>
      <c r="F14" s="58"/>
      <c r="H14" s="66">
        <f>E13</f>
        <v>0</v>
      </c>
      <c r="I14" s="76" t="s">
        <v>201</v>
      </c>
      <c r="K14" s="68"/>
      <c r="L14" s="68"/>
      <c r="M14" s="68"/>
      <c r="N14" s="68"/>
      <c r="O14" s="68"/>
    </row>
    <row r="15" spans="1:15" ht="15" thickBot="1">
      <c r="A15" s="58"/>
      <c r="B15" s="58"/>
      <c r="C15" s="58"/>
      <c r="D15" s="58"/>
      <c r="E15" s="58"/>
      <c r="F15" s="58"/>
    </row>
    <row r="16" spans="1:15" ht="15" thickBot="1">
      <c r="A16" s="324" t="s">
        <v>171</v>
      </c>
      <c r="B16" s="314"/>
      <c r="C16" s="314"/>
      <c r="D16" s="314"/>
      <c r="E16" s="314"/>
      <c r="F16" s="315"/>
    </row>
    <row r="17" spans="1:22" ht="15" thickBot="1">
      <c r="A17" s="325" t="s">
        <v>172</v>
      </c>
      <c r="B17" s="314"/>
      <c r="C17" s="315"/>
      <c r="D17" s="59"/>
      <c r="E17" s="59" t="s">
        <v>173</v>
      </c>
      <c r="F17" s="59" t="s">
        <v>174</v>
      </c>
      <c r="K17" s="72"/>
      <c r="L17" s="72"/>
      <c r="M17" s="72"/>
      <c r="N17" s="72"/>
      <c r="O17" s="72"/>
      <c r="P17" s="72"/>
      <c r="Q17" s="72"/>
    </row>
    <row r="18" spans="1:22" ht="16.2" thickBot="1">
      <c r="A18" s="313" t="s">
        <v>175</v>
      </c>
      <c r="B18" s="314"/>
      <c r="C18" s="315"/>
      <c r="D18" s="60"/>
      <c r="E18" s="60" t="s">
        <v>176</v>
      </c>
      <c r="F18" s="60" t="s">
        <v>176</v>
      </c>
      <c r="H18" s="73"/>
      <c r="I18" s="73"/>
      <c r="J18" s="73"/>
      <c r="K18" s="74"/>
      <c r="L18" s="73"/>
      <c r="M18" s="73"/>
      <c r="N18" s="73"/>
      <c r="O18" s="73"/>
      <c r="P18" s="73"/>
      <c r="Q18" s="73"/>
      <c r="R18" s="73"/>
      <c r="S18" s="73"/>
      <c r="T18" s="73"/>
      <c r="U18" s="73"/>
      <c r="V18" s="73"/>
    </row>
    <row r="19" spans="1:22" ht="15" thickBot="1">
      <c r="A19" s="313" t="s">
        <v>177</v>
      </c>
      <c r="B19" s="314"/>
      <c r="C19" s="315"/>
      <c r="D19" s="60"/>
      <c r="E19" s="60" t="s">
        <v>176</v>
      </c>
      <c r="F19" s="60" t="s">
        <v>176</v>
      </c>
      <c r="K19" s="63"/>
      <c r="L19" s="75"/>
      <c r="M19" s="75"/>
      <c r="N19" s="75"/>
      <c r="O19" s="75"/>
      <c r="P19" s="75"/>
      <c r="Q19" s="75"/>
    </row>
    <row r="20" spans="1:22" ht="15" thickBot="1">
      <c r="K20" s="63"/>
      <c r="L20" s="75"/>
      <c r="M20" s="75"/>
      <c r="N20" s="75"/>
      <c r="O20" s="75"/>
      <c r="P20" s="75"/>
      <c r="Q20" s="75"/>
    </row>
    <row r="21" spans="1:22">
      <c r="A21" s="326"/>
      <c r="B21" s="329" t="s">
        <v>178</v>
      </c>
      <c r="C21" s="330" t="s">
        <v>179</v>
      </c>
      <c r="D21" s="331"/>
      <c r="E21" s="331"/>
      <c r="F21" s="332"/>
      <c r="K21" s="72"/>
      <c r="L21" s="72"/>
      <c r="M21" s="72"/>
      <c r="N21" s="72"/>
      <c r="O21" s="72"/>
      <c r="P21" s="72"/>
      <c r="Q21" s="72"/>
    </row>
    <row r="22" spans="1:22">
      <c r="A22" s="327"/>
      <c r="B22" s="327"/>
      <c r="C22" s="333"/>
      <c r="D22" s="334"/>
      <c r="E22" s="334"/>
      <c r="F22" s="322"/>
    </row>
    <row r="23" spans="1:22">
      <c r="A23" s="327"/>
      <c r="B23" s="327"/>
      <c r="C23" s="333"/>
      <c r="D23" s="334"/>
      <c r="E23" s="334"/>
      <c r="F23" s="322"/>
    </row>
    <row r="24" spans="1:22" ht="15" thickBot="1">
      <c r="A24" s="328"/>
      <c r="B24" s="328"/>
      <c r="C24" s="323"/>
      <c r="D24" s="318"/>
      <c r="E24" s="318"/>
      <c r="F24" s="319"/>
    </row>
    <row r="25" spans="1:22">
      <c r="A25" s="335" t="s">
        <v>180</v>
      </c>
      <c r="B25" s="336" t="s">
        <v>181</v>
      </c>
      <c r="C25" s="337" t="s">
        <v>182</v>
      </c>
      <c r="D25" s="331"/>
      <c r="E25" s="331"/>
      <c r="F25" s="332"/>
    </row>
    <row r="26" spans="1:22">
      <c r="A26" s="327"/>
      <c r="B26" s="327"/>
      <c r="C26" s="333"/>
      <c r="D26" s="334"/>
      <c r="E26" s="334"/>
      <c r="F26" s="322"/>
    </row>
    <row r="27" spans="1:22">
      <c r="A27" s="327"/>
      <c r="B27" s="327"/>
      <c r="C27" s="333"/>
      <c r="D27" s="334"/>
      <c r="E27" s="334"/>
      <c r="F27" s="322"/>
    </row>
    <row r="28" spans="1:22" ht="15" thickBot="1">
      <c r="A28" s="328"/>
      <c r="B28" s="328"/>
      <c r="C28" s="323"/>
      <c r="D28" s="318"/>
      <c r="E28" s="318"/>
      <c r="F28" s="319"/>
    </row>
    <row r="29" spans="1:22">
      <c r="A29" s="335" t="s">
        <v>180</v>
      </c>
      <c r="B29" s="336" t="s">
        <v>183</v>
      </c>
      <c r="C29" s="337" t="s">
        <v>184</v>
      </c>
      <c r="D29" s="331"/>
      <c r="E29" s="331"/>
      <c r="F29" s="332"/>
    </row>
    <row r="30" spans="1:22">
      <c r="A30" s="327"/>
      <c r="B30" s="327"/>
      <c r="C30" s="333"/>
      <c r="D30" s="334"/>
      <c r="E30" s="334"/>
      <c r="F30" s="322"/>
    </row>
    <row r="31" spans="1:22">
      <c r="A31" s="327"/>
      <c r="B31" s="327"/>
      <c r="C31" s="333"/>
      <c r="D31" s="334"/>
      <c r="E31" s="334"/>
      <c r="F31" s="322"/>
    </row>
    <row r="32" spans="1:22" ht="15" thickBot="1">
      <c r="A32" s="328"/>
      <c r="B32" s="328"/>
      <c r="C32" s="323"/>
      <c r="D32" s="318"/>
      <c r="E32" s="318"/>
      <c r="F32" s="319"/>
    </row>
    <row r="33" spans="1:6">
      <c r="A33" s="335" t="s">
        <v>180</v>
      </c>
      <c r="B33" s="336" t="s">
        <v>185</v>
      </c>
      <c r="C33" s="337" t="s">
        <v>186</v>
      </c>
      <c r="D33" s="331"/>
      <c r="E33" s="331"/>
      <c r="F33" s="332"/>
    </row>
    <row r="34" spans="1:6">
      <c r="A34" s="327"/>
      <c r="B34" s="327"/>
      <c r="C34" s="333"/>
      <c r="D34" s="334"/>
      <c r="E34" s="334"/>
      <c r="F34" s="322"/>
    </row>
    <row r="35" spans="1:6">
      <c r="A35" s="327"/>
      <c r="B35" s="327"/>
      <c r="C35" s="333"/>
      <c r="D35" s="334"/>
      <c r="E35" s="334"/>
      <c r="F35" s="322"/>
    </row>
    <row r="36" spans="1:6" ht="15" thickBot="1">
      <c r="A36" s="328"/>
      <c r="B36" s="328"/>
      <c r="C36" s="323"/>
      <c r="D36" s="318"/>
      <c r="E36" s="318"/>
      <c r="F36" s="319"/>
    </row>
    <row r="37" spans="1:6">
      <c r="A37" s="335" t="s">
        <v>180</v>
      </c>
      <c r="B37" s="336" t="s">
        <v>187</v>
      </c>
      <c r="C37" s="337" t="s">
        <v>188</v>
      </c>
      <c r="D37" s="331"/>
      <c r="E37" s="331"/>
      <c r="F37" s="332"/>
    </row>
    <row r="38" spans="1:6">
      <c r="A38" s="327"/>
      <c r="B38" s="327"/>
      <c r="C38" s="333"/>
      <c r="D38" s="334"/>
      <c r="E38" s="334"/>
      <c r="F38" s="322"/>
    </row>
    <row r="39" spans="1:6">
      <c r="A39" s="327"/>
      <c r="B39" s="327"/>
      <c r="C39" s="333"/>
      <c r="D39" s="334"/>
      <c r="E39" s="334"/>
      <c r="F39" s="322"/>
    </row>
    <row r="40" spans="1:6" ht="15" thickBot="1">
      <c r="A40" s="328"/>
      <c r="B40" s="328"/>
      <c r="C40" s="323"/>
      <c r="D40" s="318"/>
      <c r="E40" s="318"/>
      <c r="F40" s="319"/>
    </row>
    <row r="41" spans="1:6">
      <c r="A41" s="335" t="s">
        <v>180</v>
      </c>
      <c r="B41" s="338" t="s">
        <v>189</v>
      </c>
      <c r="C41" s="337" t="s">
        <v>190</v>
      </c>
      <c r="D41" s="331"/>
      <c r="E41" s="331"/>
      <c r="F41" s="332"/>
    </row>
    <row r="42" spans="1:6">
      <c r="A42" s="327"/>
      <c r="B42" s="327"/>
      <c r="C42" s="333"/>
      <c r="D42" s="334"/>
      <c r="E42" s="334"/>
      <c r="F42" s="322"/>
    </row>
    <row r="43" spans="1:6">
      <c r="A43" s="327"/>
      <c r="B43" s="327"/>
      <c r="C43" s="333"/>
      <c r="D43" s="334"/>
      <c r="E43" s="334"/>
      <c r="F43" s="322"/>
    </row>
    <row r="44" spans="1:6" ht="15" thickBot="1">
      <c r="A44" s="328"/>
      <c r="B44" s="328"/>
      <c r="C44" s="323"/>
      <c r="D44" s="318"/>
      <c r="E44" s="318"/>
      <c r="F44" s="319"/>
    </row>
    <row r="45" spans="1:6">
      <c r="A45" s="335" t="s">
        <v>180</v>
      </c>
      <c r="B45" s="338" t="s">
        <v>191</v>
      </c>
      <c r="C45" s="337" t="s">
        <v>192</v>
      </c>
      <c r="D45" s="331"/>
      <c r="E45" s="331"/>
      <c r="F45" s="332"/>
    </row>
    <row r="46" spans="1:6">
      <c r="A46" s="327"/>
      <c r="B46" s="327"/>
      <c r="C46" s="333"/>
      <c r="D46" s="334"/>
      <c r="E46" s="334"/>
      <c r="F46" s="322"/>
    </row>
    <row r="47" spans="1:6">
      <c r="A47" s="327"/>
      <c r="B47" s="327"/>
      <c r="C47" s="333"/>
      <c r="D47" s="334"/>
      <c r="E47" s="334"/>
      <c r="F47" s="322"/>
    </row>
    <row r="48" spans="1:6" ht="15" thickBot="1">
      <c r="A48" s="328"/>
      <c r="B48" s="328"/>
      <c r="C48" s="323"/>
      <c r="D48" s="318"/>
      <c r="E48" s="318"/>
      <c r="F48" s="319"/>
    </row>
    <row r="49" spans="1:6">
      <c r="A49" s="335" t="s">
        <v>180</v>
      </c>
      <c r="B49" s="338" t="s">
        <v>193</v>
      </c>
      <c r="C49" s="337" t="s">
        <v>194</v>
      </c>
      <c r="D49" s="331"/>
      <c r="E49" s="331"/>
      <c r="F49" s="332"/>
    </row>
    <row r="50" spans="1:6">
      <c r="A50" s="327"/>
      <c r="B50" s="327"/>
      <c r="C50" s="333"/>
      <c r="D50" s="334"/>
      <c r="E50" s="334"/>
      <c r="F50" s="322"/>
    </row>
    <row r="51" spans="1:6">
      <c r="A51" s="327"/>
      <c r="B51" s="327"/>
      <c r="C51" s="333"/>
      <c r="D51" s="334"/>
      <c r="E51" s="334"/>
      <c r="F51" s="322"/>
    </row>
    <row r="52" spans="1:6" ht="15" thickBot="1">
      <c r="A52" s="328"/>
      <c r="B52" s="328"/>
      <c r="C52" s="323"/>
      <c r="D52" s="318"/>
      <c r="E52" s="318"/>
      <c r="F52" s="319"/>
    </row>
  </sheetData>
  <mergeCells count="36">
    <mergeCell ref="A45:A48"/>
    <mergeCell ref="B45:B48"/>
    <mergeCell ref="C45:F48"/>
    <mergeCell ref="A49:A52"/>
    <mergeCell ref="B49:B52"/>
    <mergeCell ref="C49:F52"/>
    <mergeCell ref="A37:A40"/>
    <mergeCell ref="B37:B40"/>
    <mergeCell ref="C37:F40"/>
    <mergeCell ref="A41:A44"/>
    <mergeCell ref="B41:B44"/>
    <mergeCell ref="C41:F44"/>
    <mergeCell ref="A29:A32"/>
    <mergeCell ref="B29:B32"/>
    <mergeCell ref="C29:F32"/>
    <mergeCell ref="A33:A36"/>
    <mergeCell ref="B33:B36"/>
    <mergeCell ref="C33:F36"/>
    <mergeCell ref="A21:A24"/>
    <mergeCell ref="B21:B24"/>
    <mergeCell ref="C21:F24"/>
    <mergeCell ref="A25:A28"/>
    <mergeCell ref="B25:B28"/>
    <mergeCell ref="C25:F28"/>
    <mergeCell ref="A19:C19"/>
    <mergeCell ref="A1:F1"/>
    <mergeCell ref="B2:F2"/>
    <mergeCell ref="B3:F3"/>
    <mergeCell ref="B5:F5"/>
    <mergeCell ref="B6:F6"/>
    <mergeCell ref="B7:F7"/>
    <mergeCell ref="B8:F8"/>
    <mergeCell ref="A9:F10"/>
    <mergeCell ref="A16:F16"/>
    <mergeCell ref="A17:C17"/>
    <mergeCell ref="A18:C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3A01-55A8-4FEE-BEF6-84F0F327F64E}">
  <dimension ref="G1:I87"/>
  <sheetViews>
    <sheetView zoomScale="95" zoomScaleNormal="100" workbookViewId="0">
      <selection activeCell="L5" sqref="L5"/>
    </sheetView>
  </sheetViews>
  <sheetFormatPr defaultRowHeight="14.4"/>
  <cols>
    <col min="2" max="2" width="8.6640625" customWidth="1"/>
    <col min="3" max="3" width="9.5546875" customWidth="1"/>
    <col min="8" max="8" width="74.109375" customWidth="1"/>
    <col min="9" max="9" width="43.109375" customWidth="1"/>
  </cols>
  <sheetData>
    <row r="1" spans="7:9">
      <c r="H1" s="343" t="s">
        <v>231</v>
      </c>
      <c r="I1" s="332"/>
    </row>
    <row r="2" spans="7:9">
      <c r="H2" s="333"/>
      <c r="I2" s="322"/>
    </row>
    <row r="3" spans="7:9">
      <c r="H3" s="333"/>
      <c r="I3" s="322"/>
    </row>
    <row r="4" spans="7:9" ht="15" thickBot="1">
      <c r="H4" s="323"/>
      <c r="I4" s="319"/>
    </row>
    <row r="5" spans="7:9">
      <c r="H5" s="339" t="s">
        <v>554</v>
      </c>
      <c r="I5" s="332"/>
    </row>
    <row r="6" spans="7:9">
      <c r="H6" s="333"/>
      <c r="I6" s="322"/>
    </row>
    <row r="7" spans="7:9">
      <c r="H7" s="340" t="s">
        <v>555</v>
      </c>
      <c r="I7" s="322"/>
    </row>
    <row r="8" spans="7:9">
      <c r="H8" s="333"/>
      <c r="I8" s="322"/>
    </row>
    <row r="9" spans="7:9">
      <c r="H9" s="341" t="s">
        <v>232</v>
      </c>
      <c r="I9" s="322"/>
    </row>
    <row r="10" spans="7:9" ht="57.6">
      <c r="H10" s="84" t="s">
        <v>550</v>
      </c>
      <c r="I10" s="85"/>
    </row>
    <row r="11" spans="7:9">
      <c r="H11" s="86" t="s">
        <v>553</v>
      </c>
      <c r="I11" s="85"/>
    </row>
    <row r="12" spans="7:9">
      <c r="H12" s="86" t="s">
        <v>234</v>
      </c>
      <c r="I12" s="85"/>
    </row>
    <row r="13" spans="7:9">
      <c r="H13" s="86" t="s">
        <v>235</v>
      </c>
      <c r="I13" s="85"/>
    </row>
    <row r="14" spans="7:9">
      <c r="H14" s="86" t="s">
        <v>236</v>
      </c>
      <c r="I14" s="85"/>
    </row>
    <row r="15" spans="7:9">
      <c r="G15" s="280"/>
      <c r="H15" s="87" t="s">
        <v>556</v>
      </c>
      <c r="I15" s="85"/>
    </row>
    <row r="16" spans="7:9">
      <c r="G16" s="280"/>
      <c r="H16" s="88" t="s">
        <v>551</v>
      </c>
      <c r="I16" s="85"/>
    </row>
    <row r="17" spans="8:9" ht="15" thickBot="1">
      <c r="H17" s="89" t="s">
        <v>552</v>
      </c>
      <c r="I17" s="90"/>
    </row>
    <row r="18" spans="8:9">
      <c r="H18" s="91"/>
      <c r="I18" s="92"/>
    </row>
    <row r="19" spans="8:9" ht="15" thickBot="1">
      <c r="I19" s="92"/>
    </row>
    <row r="20" spans="8:9">
      <c r="H20" s="342" t="s">
        <v>231</v>
      </c>
      <c r="I20" s="332"/>
    </row>
    <row r="21" spans="8:9">
      <c r="H21" s="333"/>
      <c r="I21" s="322"/>
    </row>
    <row r="22" spans="8:9">
      <c r="H22" s="333"/>
      <c r="I22" s="322"/>
    </row>
    <row r="23" spans="8:9" ht="15" thickBot="1">
      <c r="H23" s="323"/>
      <c r="I23" s="319"/>
    </row>
    <row r="24" spans="8:9">
      <c r="H24" s="339" t="s">
        <v>238</v>
      </c>
      <c r="I24" s="332"/>
    </row>
    <row r="25" spans="8:9">
      <c r="H25" s="333"/>
      <c r="I25" s="322"/>
    </row>
    <row r="26" spans="8:9">
      <c r="H26" s="340" t="s">
        <v>239</v>
      </c>
      <c r="I26" s="322"/>
    </row>
    <row r="27" spans="8:9">
      <c r="H27" s="333"/>
      <c r="I27" s="322"/>
    </row>
    <row r="28" spans="8:9">
      <c r="H28" s="341" t="s">
        <v>232</v>
      </c>
      <c r="I28" s="322"/>
    </row>
    <row r="29" spans="8:9" ht="72">
      <c r="H29" s="84" t="s">
        <v>240</v>
      </c>
      <c r="I29" s="85"/>
    </row>
    <row r="30" spans="8:9">
      <c r="H30" s="86" t="s">
        <v>241</v>
      </c>
      <c r="I30" s="85"/>
    </row>
    <row r="31" spans="8:9">
      <c r="H31" s="86" t="s">
        <v>242</v>
      </c>
      <c r="I31" s="85"/>
    </row>
    <row r="32" spans="8:9">
      <c r="H32" s="86" t="s">
        <v>243</v>
      </c>
      <c r="I32" s="85"/>
    </row>
    <row r="33" spans="8:9">
      <c r="H33" s="93" t="s">
        <v>244</v>
      </c>
      <c r="I33" s="85"/>
    </row>
    <row r="34" spans="8:9" ht="15" thickBot="1">
      <c r="H34" s="94" t="s">
        <v>245</v>
      </c>
      <c r="I34" s="90"/>
    </row>
    <row r="35" spans="8:9">
      <c r="H35" s="91"/>
      <c r="I35" s="92"/>
    </row>
    <row r="37" spans="8:9">
      <c r="I37" s="95"/>
    </row>
    <row r="38" spans="8:9" ht="15" thickBot="1"/>
    <row r="39" spans="8:9">
      <c r="H39" s="342" t="s">
        <v>231</v>
      </c>
      <c r="I39" s="332"/>
    </row>
    <row r="40" spans="8:9">
      <c r="H40" s="333"/>
      <c r="I40" s="322"/>
    </row>
    <row r="41" spans="8:9">
      <c r="H41" s="333"/>
      <c r="I41" s="322"/>
    </row>
    <row r="42" spans="8:9" ht="15" thickBot="1">
      <c r="H42" s="323"/>
      <c r="I42" s="319"/>
    </row>
    <row r="43" spans="8:9">
      <c r="H43" s="339" t="s">
        <v>246</v>
      </c>
      <c r="I43" s="332"/>
    </row>
    <row r="44" spans="8:9">
      <c r="H44" s="333"/>
      <c r="I44" s="322"/>
    </row>
    <row r="45" spans="8:9" ht="15.6">
      <c r="H45" s="96" t="s">
        <v>247</v>
      </c>
      <c r="I45" s="97"/>
    </row>
    <row r="46" spans="8:9">
      <c r="H46" s="344" t="s">
        <v>232</v>
      </c>
      <c r="I46" s="322"/>
    </row>
    <row r="47" spans="8:9" ht="72">
      <c r="H47" s="98" t="s">
        <v>248</v>
      </c>
      <c r="I47" s="99"/>
    </row>
    <row r="48" spans="8:9">
      <c r="H48" s="98" t="s">
        <v>249</v>
      </c>
      <c r="I48" s="99"/>
    </row>
    <row r="49" spans="8:9">
      <c r="H49" s="100" t="s">
        <v>233</v>
      </c>
      <c r="I49" s="99"/>
    </row>
    <row r="50" spans="8:9">
      <c r="H50" s="86" t="s">
        <v>250</v>
      </c>
      <c r="I50" s="99"/>
    </row>
    <row r="51" spans="8:9">
      <c r="H51" s="86" t="s">
        <v>251</v>
      </c>
      <c r="I51" s="99"/>
    </row>
    <row r="52" spans="8:9">
      <c r="H52" s="101" t="s">
        <v>252</v>
      </c>
      <c r="I52" s="99"/>
    </row>
    <row r="53" spans="8:9">
      <c r="H53" s="102"/>
      <c r="I53" s="99"/>
    </row>
    <row r="54" spans="8:9" ht="15" thickBot="1">
      <c r="H54" s="94" t="s">
        <v>237</v>
      </c>
      <c r="I54" s="103"/>
    </row>
    <row r="55" spans="8:9">
      <c r="H55" s="91"/>
      <c r="I55" s="92"/>
    </row>
    <row r="56" spans="8:9" ht="15" thickBot="1">
      <c r="I56" s="92"/>
    </row>
    <row r="57" spans="8:9">
      <c r="H57" s="342" t="s">
        <v>231</v>
      </c>
      <c r="I57" s="332"/>
    </row>
    <row r="58" spans="8:9">
      <c r="H58" s="333"/>
      <c r="I58" s="322"/>
    </row>
    <row r="59" spans="8:9">
      <c r="H59" s="333"/>
      <c r="I59" s="322"/>
    </row>
    <row r="60" spans="8:9" ht="15" thickBot="1">
      <c r="H60" s="323"/>
      <c r="I60" s="319"/>
    </row>
    <row r="61" spans="8:9">
      <c r="H61" s="339" t="s">
        <v>253</v>
      </c>
      <c r="I61" s="332"/>
    </row>
    <row r="62" spans="8:9">
      <c r="H62" s="333"/>
      <c r="I62" s="322"/>
    </row>
    <row r="63" spans="8:9">
      <c r="H63" s="340" t="s">
        <v>254</v>
      </c>
      <c r="I63" s="322"/>
    </row>
    <row r="64" spans="8:9">
      <c r="H64" s="333"/>
      <c r="I64" s="322"/>
    </row>
    <row r="65" spans="8:9">
      <c r="H65" s="341" t="s">
        <v>232</v>
      </c>
      <c r="I65" s="322"/>
    </row>
    <row r="66" spans="8:9" ht="72">
      <c r="H66" s="84" t="s">
        <v>240</v>
      </c>
      <c r="I66" s="85"/>
    </row>
    <row r="67" spans="8:9">
      <c r="H67" s="86" t="s">
        <v>241</v>
      </c>
      <c r="I67" s="85"/>
    </row>
    <row r="68" spans="8:9">
      <c r="H68" s="86" t="s">
        <v>242</v>
      </c>
      <c r="I68" s="85"/>
    </row>
    <row r="69" spans="8:9">
      <c r="H69" s="86" t="s">
        <v>255</v>
      </c>
      <c r="I69" s="85"/>
    </row>
    <row r="70" spans="8:9">
      <c r="H70" s="101" t="s">
        <v>256</v>
      </c>
      <c r="I70" s="85"/>
    </row>
    <row r="71" spans="8:9" ht="15" thickBot="1">
      <c r="H71" s="94" t="s">
        <v>245</v>
      </c>
      <c r="I71" s="90"/>
    </row>
    <row r="72" spans="8:9" ht="15" thickBot="1">
      <c r="I72" s="92"/>
    </row>
    <row r="73" spans="8:9">
      <c r="H73" s="342" t="s">
        <v>231</v>
      </c>
      <c r="I73" s="332"/>
    </row>
    <row r="74" spans="8:9">
      <c r="H74" s="333"/>
      <c r="I74" s="322"/>
    </row>
    <row r="75" spans="8:9">
      <c r="H75" s="333"/>
      <c r="I75" s="322"/>
    </row>
    <row r="76" spans="8:9" ht="15" thickBot="1">
      <c r="H76" s="323"/>
      <c r="I76" s="319"/>
    </row>
    <row r="77" spans="8:9">
      <c r="H77" s="339" t="s">
        <v>257</v>
      </c>
      <c r="I77" s="332"/>
    </row>
    <row r="78" spans="8:9">
      <c r="H78" s="333"/>
      <c r="I78" s="322"/>
    </row>
    <row r="79" spans="8:9">
      <c r="H79" s="340" t="s">
        <v>258</v>
      </c>
      <c r="I79" s="322"/>
    </row>
    <row r="80" spans="8:9">
      <c r="H80" s="333"/>
      <c r="I80" s="322"/>
    </row>
    <row r="81" spans="8:9">
      <c r="H81" s="341" t="s">
        <v>232</v>
      </c>
      <c r="I81" s="322"/>
    </row>
    <row r="82" spans="8:9" ht="72">
      <c r="H82" s="84" t="s">
        <v>240</v>
      </c>
      <c r="I82" s="85"/>
    </row>
    <row r="83" spans="8:9">
      <c r="H83" s="86" t="s">
        <v>241</v>
      </c>
      <c r="I83" s="85"/>
    </row>
    <row r="84" spans="8:9">
      <c r="H84" s="86" t="s">
        <v>242</v>
      </c>
      <c r="I84" s="85"/>
    </row>
    <row r="85" spans="8:9">
      <c r="H85" s="86" t="s">
        <v>259</v>
      </c>
      <c r="I85" s="85"/>
    </row>
    <row r="86" spans="8:9">
      <c r="H86" s="101" t="s">
        <v>260</v>
      </c>
      <c r="I86" s="85"/>
    </row>
    <row r="87" spans="8:9" ht="15" thickBot="1">
      <c r="H87" s="89" t="s">
        <v>245</v>
      </c>
      <c r="I87" s="90"/>
    </row>
  </sheetData>
  <mergeCells count="19">
    <mergeCell ref="H73:I76"/>
    <mergeCell ref="H77:I78"/>
    <mergeCell ref="H79:I80"/>
    <mergeCell ref="H81:I81"/>
    <mergeCell ref="H43:I44"/>
    <mergeCell ref="H46:I46"/>
    <mergeCell ref="H57:I60"/>
    <mergeCell ref="H61:I62"/>
    <mergeCell ref="H63:I64"/>
    <mergeCell ref="H65:I65"/>
    <mergeCell ref="H24:I25"/>
    <mergeCell ref="H26:I27"/>
    <mergeCell ref="H28:I28"/>
    <mergeCell ref="H39:I42"/>
    <mergeCell ref="H1:I4"/>
    <mergeCell ref="H5:I6"/>
    <mergeCell ref="H7:I8"/>
    <mergeCell ref="H9:I9"/>
    <mergeCell ref="H20:I23"/>
  </mergeCells>
  <hyperlinks>
    <hyperlink ref="H15" r:id="rId1" display="Screenshot: Invalid email address error" xr:uid="{33E78CAE-3072-4543-B8AB-83A270612050}"/>
    <hyperlink ref="H33" r:id="rId2" xr:uid="{03629ED9-4625-4B01-A949-0703E1EDA85B}"/>
    <hyperlink ref="H52" r:id="rId3" xr:uid="{31B83A2D-F2D6-446F-9AA2-6D75FC37AA48}"/>
    <hyperlink ref="H70" r:id="rId4" xr:uid="{E21CC0E2-0EDB-439D-B961-5F7751DC919F}"/>
    <hyperlink ref="H86" r:id="rId5" xr:uid="{DBE83590-67DD-4BB8-A777-7B07174FB95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67A5-4AD2-4EEA-B6B7-AAE1049D1194}">
  <dimension ref="A1:E18"/>
  <sheetViews>
    <sheetView zoomScale="58" workbookViewId="0">
      <selection activeCell="F25" sqref="F25"/>
    </sheetView>
  </sheetViews>
  <sheetFormatPr defaultRowHeight="14.4"/>
  <cols>
    <col min="3" max="3" width="53.21875" customWidth="1"/>
    <col min="4" max="4" width="84.88671875" customWidth="1"/>
    <col min="5" max="5" width="20.5546875" customWidth="1"/>
  </cols>
  <sheetData>
    <row r="1" spans="1:5">
      <c r="A1" t="s">
        <v>0</v>
      </c>
    </row>
    <row r="4" spans="1:5" ht="15" thickBot="1"/>
    <row r="5" spans="1:5" ht="30" customHeight="1">
      <c r="B5" s="345" t="s">
        <v>0</v>
      </c>
      <c r="C5" s="331"/>
      <c r="D5" s="331"/>
      <c r="E5" s="332"/>
    </row>
    <row r="6" spans="1:5" ht="30" customHeight="1" thickBot="1">
      <c r="B6" s="323"/>
      <c r="C6" s="318"/>
      <c r="D6" s="318"/>
      <c r="E6" s="319"/>
    </row>
    <row r="7" spans="1:5" ht="30" customHeight="1" thickBot="1">
      <c r="B7" s="77" t="s">
        <v>202</v>
      </c>
      <c r="C7" s="78" t="s">
        <v>203</v>
      </c>
      <c r="D7" s="78" t="s">
        <v>179</v>
      </c>
      <c r="E7" s="78" t="s">
        <v>204</v>
      </c>
    </row>
    <row r="8" spans="1:5" ht="30" customHeight="1" thickBot="1">
      <c r="B8" s="79">
        <v>1</v>
      </c>
      <c r="C8" s="80" t="s">
        <v>205</v>
      </c>
      <c r="D8" s="81" t="s">
        <v>206</v>
      </c>
      <c r="E8" s="79" t="s">
        <v>207</v>
      </c>
    </row>
    <row r="9" spans="1:5" ht="30" customHeight="1" thickBot="1">
      <c r="B9" s="79">
        <v>2</v>
      </c>
      <c r="C9" s="82" t="s">
        <v>208</v>
      </c>
      <c r="D9" s="83" t="s">
        <v>209</v>
      </c>
      <c r="E9" s="79" t="s">
        <v>210</v>
      </c>
    </row>
    <row r="10" spans="1:5" ht="30" customHeight="1" thickBot="1">
      <c r="B10" s="79">
        <v>3</v>
      </c>
      <c r="C10" s="82" t="s">
        <v>211</v>
      </c>
      <c r="D10" s="83" t="s">
        <v>212</v>
      </c>
      <c r="E10" s="79" t="s">
        <v>213</v>
      </c>
    </row>
    <row r="11" spans="1:5" ht="30" customHeight="1" thickBot="1">
      <c r="B11" s="79">
        <v>4</v>
      </c>
      <c r="C11" s="82" t="s">
        <v>214</v>
      </c>
      <c r="D11" s="83" t="s">
        <v>215</v>
      </c>
      <c r="E11" s="79" t="s">
        <v>216</v>
      </c>
    </row>
    <row r="12" spans="1:5" ht="30" customHeight="1" thickBot="1">
      <c r="B12" s="79">
        <v>5</v>
      </c>
      <c r="C12" s="82" t="s">
        <v>217</v>
      </c>
      <c r="D12" s="83" t="s">
        <v>218</v>
      </c>
      <c r="E12" s="79" t="s">
        <v>210</v>
      </c>
    </row>
    <row r="13" spans="1:5" ht="30" customHeight="1" thickBot="1">
      <c r="B13" s="79">
        <v>6</v>
      </c>
      <c r="C13" s="82" t="s">
        <v>219</v>
      </c>
      <c r="D13" s="83" t="s">
        <v>220</v>
      </c>
      <c r="E13" s="79" t="s">
        <v>44</v>
      </c>
    </row>
    <row r="14" spans="1:5" ht="30" customHeight="1" thickBot="1">
      <c r="B14" s="79">
        <v>7</v>
      </c>
      <c r="C14" s="82" t="s">
        <v>221</v>
      </c>
      <c r="D14" s="83" t="s">
        <v>222</v>
      </c>
      <c r="E14" s="79" t="s">
        <v>44</v>
      </c>
    </row>
    <row r="15" spans="1:5" ht="30" customHeight="1" thickBot="1">
      <c r="B15" s="79">
        <v>8</v>
      </c>
      <c r="C15" s="82" t="s">
        <v>223</v>
      </c>
      <c r="D15" s="83" t="s">
        <v>224</v>
      </c>
      <c r="E15" s="79" t="s">
        <v>44</v>
      </c>
    </row>
    <row r="16" spans="1:5" ht="30" customHeight="1" thickBot="1">
      <c r="B16" s="79">
        <v>9</v>
      </c>
      <c r="C16" s="82" t="s">
        <v>225</v>
      </c>
      <c r="D16" s="83" t="s">
        <v>226</v>
      </c>
      <c r="E16" s="79" t="s">
        <v>44</v>
      </c>
    </row>
    <row r="17" spans="2:5" ht="30" customHeight="1" thickBot="1">
      <c r="B17" s="79">
        <v>10</v>
      </c>
      <c r="C17" s="82" t="s">
        <v>227</v>
      </c>
      <c r="D17" s="83" t="s">
        <v>228</v>
      </c>
      <c r="E17" s="79" t="s">
        <v>44</v>
      </c>
    </row>
    <row r="18" spans="2:5" ht="30" customHeight="1" thickBot="1">
      <c r="B18" s="79">
        <v>11</v>
      </c>
      <c r="C18" s="82" t="s">
        <v>229</v>
      </c>
      <c r="D18" s="83" t="s">
        <v>230</v>
      </c>
      <c r="E18" s="79" t="s">
        <v>44</v>
      </c>
    </row>
  </sheetData>
  <mergeCells count="1">
    <mergeCell ref="B5:E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B6A0-C719-492D-9951-7DDEB7977857}">
  <dimension ref="A1"/>
  <sheetViews>
    <sheetView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938C62-408F-475A-895C-61F5BE0D45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Plan</vt:lpstr>
      <vt:lpstr>Mind Maps</vt:lpstr>
      <vt:lpstr>TestScenarios</vt:lpstr>
      <vt:lpstr>TestCase</vt:lpstr>
      <vt:lpstr>Test Summary Report</vt:lpstr>
      <vt:lpstr>Bug Report</vt:lpstr>
      <vt:lpstr>Test Metrics</vt:lpstr>
      <vt:lpstr>Recommandation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samia</dc:creator>
  <cp:lastModifiedBy>samia jannat</cp:lastModifiedBy>
  <dcterms:created xsi:type="dcterms:W3CDTF">2026-03-28T15:23:54Z</dcterms:created>
  <dcterms:modified xsi:type="dcterms:W3CDTF">2026-07-30T06:46:23Z</dcterms:modified>
</cp:coreProperties>
</file>